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rpkv.sharepoint.com/sites/AnalyticiKARP/Sdilene dokumenty/Aktivity/Kaskáda AI akcelerátoru/"/>
    </mc:Choice>
  </mc:AlternateContent>
  <xr:revisionPtr revIDLastSave="746" documentId="8_{9F1C8E7B-F614-4AB2-903B-25D9BD5CCFD6}" xr6:coauthVersionLast="47" xr6:coauthVersionMax="47" xr10:uidLastSave="{77D67599-1B53-40B8-AB63-28608DBC3C3E}"/>
  <bookViews>
    <workbookView xWindow="-67320" yWindow="-2985" windowWidth="29040" windowHeight="15720" xr2:uid="{2D5A5D65-4641-43F2-B0BD-31BEB1492287}"/>
  </bookViews>
  <sheets>
    <sheet name="Kraj v číslech" sheetId="2" r:id="rId1"/>
    <sheet name="Přehled ORP" sheetId="1" r:id="rId2"/>
    <sheet name="Kondingenční Seznamu ZŠ" sheetId="4" r:id="rId3"/>
    <sheet name="Seznam sídel škol v KVK" sheetId="3" r:id="rId4"/>
    <sheet name="Počet obyvatel" sheetId="5" r:id="rId5"/>
  </sheets>
  <externalReferences>
    <externalReference r:id="rId6"/>
  </externalReferences>
  <definedNames>
    <definedName name="_xlnm._FilterDatabase" localSheetId="3" hidden="1">'Seznam sídel škol v KVK'!$A$4:$W$281</definedName>
  </definedNames>
  <calcPr calcId="191028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5" l="1"/>
  <c r="I8" i="5"/>
  <c r="I9" i="5"/>
  <c r="I10" i="5"/>
  <c r="I11" i="5"/>
  <c r="I12" i="5"/>
  <c r="I13" i="5"/>
  <c r="I14" i="5"/>
  <c r="I15" i="5"/>
  <c r="I16" i="5"/>
  <c r="I6" i="5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6" i="3"/>
  <c r="X5" i="3"/>
  <c r="F23" i="1" l="1"/>
  <c r="H23" i="1" s="1"/>
  <c r="I23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G17" i="1"/>
  <c r="G18" i="1"/>
  <c r="G19" i="1"/>
  <c r="G20" i="1"/>
  <c r="G21" i="1"/>
  <c r="G22" i="1"/>
  <c r="G16" i="1"/>
  <c r="H16" i="1"/>
  <c r="I16" i="1" s="1"/>
  <c r="G23" i="1" l="1"/>
</calcChain>
</file>

<file path=xl/sharedStrings.xml><?xml version="1.0" encoding="utf-8"?>
<sst xmlns="http://schemas.openxmlformats.org/spreadsheetml/2006/main" count="6126" uniqueCount="2089">
  <si>
    <t>Kapitola</t>
  </si>
  <si>
    <t>Název kapitoly</t>
  </si>
  <si>
    <t>Tvrzení</t>
  </si>
  <si>
    <t>Reakce</t>
  </si>
  <si>
    <t>Karlovarský kraj v číslech</t>
  </si>
  <si>
    <t>13,6% učitelů bez odborné kvalifikace</t>
  </si>
  <si>
    <t>dle Výroční zprávy o stavu školství v kraji je to 14,02 % (kap. 2.11.2).</t>
  </si>
  <si>
    <t>49,1
roku — průměrný věk učitele</t>
  </si>
  <si>
    <t>OK</t>
  </si>
  <si>
    <t>41 %
úspěšnost v matematice, 9. ročník</t>
  </si>
  <si>
    <t>Není uvedeno v jaké zkoušce nebo z jakého zdroje data jsou. Není možné ověřit.</t>
  </si>
  <si>
    <t>10,6 %
obyvatel s vysokoškolským vzděláním</t>
  </si>
  <si>
    <t>Dle statistické ročenky 15,14 %. V Ústeckém je to ale třeba 12,7 % (Obyvatelstvo ve věku 15 let a více podle vzdělání v Ústeckém kraji).</t>
  </si>
  <si>
    <t>50
počítačů na 100 žáků ZŠ</t>
  </si>
  <si>
    <t>Data ČSÚ k ICT ve školství (https://csu.gov.cz/ict-ve-skolstvi?pocet=10&amp;start=0&amp;podskupiny=404&amp;razeni=-datumVydani) hovoří pouze zvlášt o prvním a druhém stupni, zde je tato hodnota dokonce vyšší (57,6 % u 1. stupně, 83,9 % u druhého stupně. Skutečně jde o nejvyšší hodnoty mezi regiony.</t>
  </si>
  <si>
    <t>4,60 %
předčasných odchodů ze ZŠ</t>
  </si>
  <si>
    <t>Data z roku 2020, novější nenalezeny (https://www.csicr.cz/html/2020/Krajska_zprava_o_vzdelavani_Stredocesky/resources/_pdfs_/02_Kraj_Stredocesky_komplet_e-verze_30.pdf).</t>
  </si>
  <si>
    <t>Soustava kraje</t>
  </si>
  <si>
    <t>Počet škol a školských zařízení</t>
  </si>
  <si>
    <t>OK dle Výroční zprávy o stavu školství v kraji</t>
  </si>
  <si>
    <t>Počty dětí a žáků</t>
  </si>
  <si>
    <t>dle ČSÚ rozpor v datech (viz https://aidetemcz.github.io/dataviz/ai-akcelerator-krajska-uroven-akteri/kaskada-ai-akceleratoru.html#kraj-v-cislech)</t>
  </si>
  <si>
    <t>Kde data chybí</t>
  </si>
  <si>
    <t>Výroční zpráva o stavu a rozvoji vzdělávací soustavy KV kraje</t>
  </si>
  <si>
    <t>Je k dispozici na krajském webu https://kvkskoly.cz/</t>
  </si>
  <si>
    <t>Krajský akční plán rozvoje vzdělávání (KAP II–IV) — veřejně je jen KAP 1 z roku 2019.</t>
  </si>
  <si>
    <t>Bodové výsledky jednotné přijímací zkoušky za 2025/26 — v PDF MŠMT na str. 27, nepodařilo se vytěžit. Doložený je jen údaj z 2024: KV a Ústecký shodně 46,5 bodu, nejméně v ČR (ČR 56).</t>
  </si>
  <si>
    <t>Neúspěšnost u maturity 2022–2025 — CERMAT publikuje jen v interaktivním Power BI. Poslední veřejná krajská řada končí 2021 (hrubá neúspěšnost společné části 2021: KV 8,9 %, ČR 6,3 % — hodnota se při opakovaném čtení lišila, ověřit ručně).</t>
  </si>
  <si>
    <t>Krajský rozpad prostředků NPO na digitalizaci — MŠMT nepublikuje; peníze šly normativně na žáka přes krajský úřad.</t>
  </si>
  <si>
    <t>Číselné hodnoty indexů PAQ pro jednotlivá ORP — jsou v interaktivní mapě mapavzdelavani.cz; analytické zprávy lze stáhnout ručně nebo vyžádat.</t>
  </si>
  <si>
    <t>Krajská data PISA 2022 — ČŠI je záměrně nezveřejňuje.</t>
  </si>
  <si>
    <t>Obecně</t>
  </si>
  <si>
    <t>jednotlivé výstupy nejsou moc ozdrojované, není jasné, udkud se data přesně berou a není uveden ani rok sběru dat. Je obtížné je pak ověřit.</t>
  </si>
  <si>
    <t>Učitelé</t>
  </si>
  <si>
    <t>Pravděpodobně jde jen o učitele ZŠ, bylo by vhodné doplnit do nadpisu. Projděto několik zdrojů, data se liší, ale stejná čísla nenalezena. Pokud nemáte k dispozici lepší zdroj, mohu doporučit 1) https://statis.msmt.gov.cz/rocenka/rocenka.asp, 2) Regionální zprávu o stavu školství, 3) DataStat ČSÚ (https://data.csu.gov.cz/datastat/data/VYBER/VZD01T01?vSet=1&amp;vSel=1)</t>
  </si>
  <si>
    <t>Učitelé — nejslabší místo kraje</t>
  </si>
  <si>
    <t>Kraj je v republikovém srovnání poslední hned ve třech ukazatelích najednou</t>
  </si>
  <si>
    <t>Uvedl bych, že jde o podílové hodnoty.
Dle uvedeného zdroje (jde o data MŠ, ZŠ, SŠ i VOŠ):
Bez odborné kvalifikace: 15,7 (KVK), 10,4 (ČR)
55+: 36 % (KVK), 31 % (ČR)
65+: 6 % (KVK), 5% (ČR)</t>
  </si>
  <si>
    <t>Podíly v procentech, 2024/25</t>
  </si>
  <si>
    <t>OK, nejmenší počet učitelů je ale vzhledem k nejmenšímu počtu obyvatel mezi regiony logický. Možná by bylo vhodnější přepočíst na počet obyvatel jednotlivých regionů.</t>
  </si>
  <si>
    <t>Výsledky žáků</t>
  </si>
  <si>
    <t>Testování ČŠI v 5. a 9. ročnících (2022)</t>
  </si>
  <si>
    <t>Tabulka</t>
  </si>
  <si>
    <t>Předčasné odchody ze ZŠ: Dle mapy vzdělávání 4,5 %, průměr ČR 2,9 %</t>
  </si>
  <si>
    <t>Přehled ORP v kraji</t>
  </si>
  <si>
    <t>takto je označeno, co je potřeba opravit</t>
  </si>
  <si>
    <t>oprava</t>
  </si>
  <si>
    <t>připomínka</t>
  </si>
  <si>
    <t>Bude se o užití AI ve školách jednat opravdu se starosty/zřizovateli, nebo z řediteli škol?</t>
  </si>
  <si>
    <t>Jedná se opravdu jen o základní školy?</t>
  </si>
  <si>
    <t>Je důležité, zda se jedná o první, či druhý stupeň, nebo to bude probíhat na obou stupních?</t>
  </si>
  <si>
    <t>Bod</t>
  </si>
  <si>
    <t>Úvodní část</t>
  </si>
  <si>
    <t>ve školním roce 2025/2026</t>
  </si>
  <si>
    <t>7 správní obvodů ORP</t>
  </si>
  <si>
    <t>133 obcí</t>
  </si>
  <si>
    <t>60 obcí nemá žádnou ZŠ (45 % obcí v kraji)</t>
  </si>
  <si>
    <t xml:space="preserve">98 ze 114 ZŠ zřizuje obec, kraj 3, soukromé 12 a církevní 0, MŠMT 1 </t>
  </si>
  <si>
    <t>Sedm správních obvodů</t>
  </si>
  <si>
    <t>obcí</t>
  </si>
  <si>
    <t xml:space="preserve">z toho měst </t>
  </si>
  <si>
    <t>obyvatel</t>
  </si>
  <si>
    <t>obce se ZŠ</t>
  </si>
  <si>
    <t>v %</t>
  </si>
  <si>
    <t>obcí bez školy</t>
  </si>
  <si>
    <t>Okres</t>
  </si>
  <si>
    <t>Aš</t>
  </si>
  <si>
    <t>Cheb</t>
  </si>
  <si>
    <t>KV</t>
  </si>
  <si>
    <t>Kraslice</t>
  </si>
  <si>
    <t>ML</t>
  </si>
  <si>
    <t>Ostrov</t>
  </si>
  <si>
    <t>Sokolov</t>
  </si>
  <si>
    <t>Celkem</t>
  </si>
  <si>
    <t>zdroj</t>
  </si>
  <si>
    <t>RIM: Mapa škol Karlovarského kraje | DATA ZAPAD</t>
  </si>
  <si>
    <t xml:space="preserve">změnit graf </t>
  </si>
  <si>
    <t>Podíl obcí bez školy</t>
  </si>
  <si>
    <t>dle tabulky výše</t>
  </si>
  <si>
    <t xml:space="preserve"> Obce, starostové a školy</t>
  </si>
  <si>
    <t>Obce, ředitelé škola a školy</t>
  </si>
  <si>
    <t>?</t>
  </si>
  <si>
    <t>POZOR - některé obce mohou mít více ZŠ</t>
  </si>
  <si>
    <t>starostové budou mnohdy od října jiní, pokud jsou potřeba kontakty, doplnili by se po volbách</t>
  </si>
  <si>
    <t>Seznam škol je na listu "Seznam škol v KVK"</t>
  </si>
  <si>
    <t>obsahuje  MŠ, ZŠ, SŠ, kontakt na školy a ředitele škol</t>
  </si>
  <si>
    <t>Kdo je vstupní bod v źemí</t>
  </si>
  <si>
    <t>doplnění do tabulky</t>
  </si>
  <si>
    <t>ORP</t>
  </si>
  <si>
    <t>Nositel MAP</t>
  </si>
  <si>
    <t>Sdružení Ašsko</t>
  </si>
  <si>
    <t>https://sa.obeckrasna.cz/index.php/mistni-akcni-plan/nase-cinnost</t>
  </si>
  <si>
    <t>Kde data končí</t>
  </si>
  <si>
    <t>Počty základních škol po ORP a okresech</t>
  </si>
  <si>
    <t>Oblast KVK</t>
  </si>
  <si>
    <t>Celkový součet</t>
  </si>
  <si>
    <t>počty ZŠ celkem, bez rozlišení na první či druhý stupeň</t>
  </si>
  <si>
    <t>okres Cheb</t>
  </si>
  <si>
    <t>ORP Aš</t>
  </si>
  <si>
    <t>ORP Cheb</t>
  </si>
  <si>
    <t>ORP Mariánské Lázně</t>
  </si>
  <si>
    <t>okres Karlovy Vary</t>
  </si>
  <si>
    <t>ORP Karlovy Vary</t>
  </si>
  <si>
    <t>ORP Ostrov</t>
  </si>
  <si>
    <t>okres Sokolov</t>
  </si>
  <si>
    <t>ORP Kraslice</t>
  </si>
  <si>
    <t>ORP Sokolov</t>
  </si>
  <si>
    <t>Dvě věci k ručnímu doověření</t>
  </si>
  <si>
    <t>Doověřeno:</t>
  </si>
  <si>
    <t>A)</t>
  </si>
  <si>
    <t>Které 3 ZŠ zřizuje Karlovarský kraj.</t>
  </si>
  <si>
    <t>1.</t>
  </si>
  <si>
    <t>Základní škola Ostrov, příspěvková organizace, 	Ulice: Krušnohorská 304</t>
  </si>
  <si>
    <t>Název školy:</t>
  </si>
  <si>
    <t>Základní škola Ostrov, příspěvková organizace</t>
  </si>
  <si>
    <t>Adresa školy:</t>
  </si>
  <si>
    <t>Ulice: Krušnohorská 304</t>
  </si>
  <si>
    <t>Obec: Ostrov</t>
  </si>
  <si>
    <t>Kraj: Karlovarský</t>
  </si>
  <si>
    <t>PSČ: 363 01</t>
  </si>
  <si>
    <t>Ředitel:</t>
  </si>
  <si>
    <t>Mgr. Pavlína Zapletalová</t>
  </si>
  <si>
    <t>Kontakt na školu</t>
  </si>
  <si>
    <t>Telefon: 730 585 022</t>
  </si>
  <si>
    <t>Email: zps.ostrov@email.cz</t>
  </si>
  <si>
    <t>Web: www.zspostrov.cz</t>
  </si>
  <si>
    <t>IČ:</t>
  </si>
  <si>
    <t>RED-IZO:</t>
  </si>
  <si>
    <t>Zřizovatel:</t>
  </si>
  <si>
    <t>Karlovarský kraj</t>
  </si>
  <si>
    <t>Typ zřizovatele:</t>
  </si>
  <si>
    <t>Kraj</t>
  </si>
  <si>
    <t xml:space="preserve">2. </t>
  </si>
  <si>
    <t>ZŠ MŠ a praktická škola Karlovy Vary</t>
  </si>
  <si>
    <t>web</t>
  </si>
  <si>
    <t>https://www.zsasskarlovyvary.cz/</t>
  </si>
  <si>
    <t>Sídlo</t>
  </si>
  <si>
    <t>Svahová 1169, 360 01 Karlovy Vary 1</t>
  </si>
  <si>
    <t>tel.</t>
  </si>
  <si>
    <t>IČO: 66362725</t>
  </si>
  <si>
    <t>3.</t>
  </si>
  <si>
    <t>ZŠ a MŠ při zdravotnických zařízeních KV</t>
  </si>
  <si>
    <t>3 pobočky</t>
  </si>
  <si>
    <t>Bezručova 19, 360 66 Karlovy Vary 1</t>
  </si>
  <si>
    <t>https://www.zsnemkv.cz/cs/kde-nas-najdete-1#no-back</t>
  </si>
  <si>
    <t>IČ: 70 83 89 92</t>
  </si>
  <si>
    <t xml:space="preserve">1) </t>
  </si>
  <si>
    <t>ZŠ a MŠ PŘI NEMOCNICI KARLOVY VARY</t>
  </si>
  <si>
    <t>adresa</t>
  </si>
  <si>
    <t>Bezručova 1190/19, 360 01 Karlovy Vary</t>
  </si>
  <si>
    <t>2)</t>
  </si>
  <si>
    <t>ZŠ a MŠ PŘI LÉČEBNĚ MÁNES KARLOVY VARY:</t>
  </si>
  <si>
    <t>Křižíkova 12, 360 01 Karlovy Vary</t>
  </si>
  <si>
    <t xml:space="preserve">3) </t>
  </si>
  <si>
    <t>ZŠ a MŠ PŘI LÉČEBNÝCH LÁZNÍCH LÁZNĚ KYNŽVART</t>
  </si>
  <si>
    <t>Lázeňská 153, 354 91 Lázně Kynžvart</t>
  </si>
  <si>
    <t>B)</t>
  </si>
  <si>
    <t>12 starostů označených…</t>
  </si>
  <si>
    <t>Identifikační číslo organizace</t>
  </si>
  <si>
    <t>Název zařízení</t>
  </si>
  <si>
    <t>Právní forma</t>
  </si>
  <si>
    <t>Typ vlastnictví</t>
  </si>
  <si>
    <t>Specifikace vlastnictví</t>
  </si>
  <si>
    <t>Mateřská škola</t>
  </si>
  <si>
    <t>Základní škola</t>
  </si>
  <si>
    <t>Střední škola</t>
  </si>
  <si>
    <t>Vyšší odborná škola</t>
  </si>
  <si>
    <t>Pobočka vysoké školy</t>
  </si>
  <si>
    <t>Základní umělecká škola</t>
  </si>
  <si>
    <t>Dům dětí a mládeže</t>
  </si>
  <si>
    <t>Ostatní</t>
  </si>
  <si>
    <t>Adresa místa výkonu činnosti</t>
  </si>
  <si>
    <t>Kód obce</t>
  </si>
  <si>
    <t>Název obce</t>
  </si>
  <si>
    <t>Zeměpisná délka v souřadnicovém systému WGS84</t>
  </si>
  <si>
    <t>Zeměpisná šířka v souřadnicovém systému WGS84</t>
  </si>
  <si>
    <t>Telefonní kontakt</t>
  </si>
  <si>
    <t>Kontaktní e-mail</t>
  </si>
  <si>
    <t>Webová stránka</t>
  </si>
  <si>
    <t>okres</t>
  </si>
  <si>
    <t>Mateřská škola Krásná, příspěvková organizace</t>
  </si>
  <si>
    <t>příspěvková organizace</t>
  </si>
  <si>
    <t>veřejné</t>
  </si>
  <si>
    <t>obec v Karlovarském kraji</t>
  </si>
  <si>
    <t>ano</t>
  </si>
  <si>
    <t>ne</t>
  </si>
  <si>
    <t>Krásná 280, 35201 Krásná</t>
  </si>
  <si>
    <t>Krásná</t>
  </si>
  <si>
    <t>12.172269</t>
  </si>
  <si>
    <t>50.232007</t>
  </si>
  <si>
    <t>ms.krasna@obeckrasna.cz</t>
  </si>
  <si>
    <t>http://ms.obeckrasna.cz/</t>
  </si>
  <si>
    <t>Mateřská škola Hranice, okres Cheb</t>
  </si>
  <si>
    <t>Soukenná 844, 35124 Hranice</t>
  </si>
  <si>
    <t>Hranice</t>
  </si>
  <si>
    <t>12.174315</t>
  </si>
  <si>
    <t>50.307003</t>
  </si>
  <si>
    <t>skolkahranice@gmail.com</t>
  </si>
  <si>
    <t>https://www.mshranice.cz/cs</t>
  </si>
  <si>
    <t>Základní škola Hranice, okres Cheb</t>
  </si>
  <si>
    <t>Husova 414, 35124 Hranice</t>
  </si>
  <si>
    <t>12.177154</t>
  </si>
  <si>
    <t>50.306415</t>
  </si>
  <si>
    <t>reditelka@skolahranice.eu</t>
  </si>
  <si>
    <t>https://www.skolahranice.cz/</t>
  </si>
  <si>
    <t>Základní škola a mateřská škola Aš, Okružní 57, okres Cheb, příspěvková organizace</t>
  </si>
  <si>
    <t>Okružní 1580/57, 35201 Aš</t>
  </si>
  <si>
    <t>12.179338</t>
  </si>
  <si>
    <t>50.221102</t>
  </si>
  <si>
    <t>okruzni@zsmsok.eu</t>
  </si>
  <si>
    <t>https://www.zsmsok.eu/</t>
  </si>
  <si>
    <t>Základní škola a střední škola Aš, příspěvková organizace</t>
  </si>
  <si>
    <t>Studentská 1612/13, 35201 Aš</t>
  </si>
  <si>
    <t>12.183502</t>
  </si>
  <si>
    <t>50.228133</t>
  </si>
  <si>
    <t>reditelka@zspsas.cz</t>
  </si>
  <si>
    <t>https://www.zspsas.eu/</t>
  </si>
  <si>
    <t>Základní umělecká škola Roberta Schumanna Aš</t>
  </si>
  <si>
    <t>Kostelní   42/12, 35201 Aš</t>
  </si>
  <si>
    <t>12.186703</t>
  </si>
  <si>
    <t>50.226109</t>
  </si>
  <si>
    <t>zusas@centrum.cz</t>
  </si>
  <si>
    <t>https://zusas.cz/</t>
  </si>
  <si>
    <t>Mateřská škola Aš, Moravská 10, okres Cheb</t>
  </si>
  <si>
    <t>Moravská 1926/10, 35201 Aš</t>
  </si>
  <si>
    <t>12.18863</t>
  </si>
  <si>
    <t>50.223612</t>
  </si>
  <si>
    <t>moravska.as@gmail.com</t>
  </si>
  <si>
    <t>https://www.skolka-moravska.cz/</t>
  </si>
  <si>
    <t>Základní škola Aš, Kamenná 152, okres Cheb</t>
  </si>
  <si>
    <t>Kamenná 152/2, 35201 Aš</t>
  </si>
  <si>
    <t>12.191407</t>
  </si>
  <si>
    <t>50.22206</t>
  </si>
  <si>
    <t>kancelar@zskamenna.cz</t>
  </si>
  <si>
    <t>https://stranky.kamenka.cz/</t>
  </si>
  <si>
    <t>Mateřská škola Aš, Neumannova 2560, okres Cheb, příspěvková organizace</t>
  </si>
  <si>
    <t>Neumannova 2560, 35201 Aš</t>
  </si>
  <si>
    <t>12.192414</t>
  </si>
  <si>
    <t>50.22006</t>
  </si>
  <si>
    <t>9skolka@gmail.com</t>
  </si>
  <si>
    <t>https://www.neumannka.cz/</t>
  </si>
  <si>
    <t>Zařízení školního stravování Aš, příspěvková organizace</t>
  </si>
  <si>
    <t>Dlouhá 2618/3, 35201 Aš</t>
  </si>
  <si>
    <t>12.192643</t>
  </si>
  <si>
    <t>50.223248</t>
  </si>
  <si>
    <t>kommova.jana@zss-as.eu</t>
  </si>
  <si>
    <t>https://www.zss-as.cz/</t>
  </si>
  <si>
    <t>Městský dům dětí a mládeže Sluníčko Aš</t>
  </si>
  <si>
    <t>Štefánikova 2515, 35201 Aš</t>
  </si>
  <si>
    <t>12.193072</t>
  </si>
  <si>
    <t>50.224996</t>
  </si>
  <si>
    <t>meddm.slunicko@gmail.com</t>
  </si>
  <si>
    <t>https://www.meddmslunicko.cz/</t>
  </si>
  <si>
    <t>Mateřská škola Aš, Nohova 2201, okres Cheb</t>
  </si>
  <si>
    <t>Nohova 2201, 35201 Aš</t>
  </si>
  <si>
    <t>12.194472</t>
  </si>
  <si>
    <t>50.213098</t>
  </si>
  <si>
    <t>skolka-as@email.cz</t>
  </si>
  <si>
    <t>https://www.msnohova.cz/</t>
  </si>
  <si>
    <t>Základní škola Aš, Hlávkova 26, okres Cheb</t>
  </si>
  <si>
    <t>Hlávkova 1472/26, 35201 Aš</t>
  </si>
  <si>
    <t>12.202515</t>
  </si>
  <si>
    <t>50.21743</t>
  </si>
  <si>
    <t>reditel@zshlavkova.cz</t>
  </si>
  <si>
    <t>https://www.zshlavkova.cz/</t>
  </si>
  <si>
    <t>Základní škola a mateřská škola Libá, okres Cheb, příspěvková organizace</t>
  </si>
  <si>
    <t>Libá 225, 35131 Libá</t>
  </si>
  <si>
    <t>Libá</t>
  </si>
  <si>
    <t>12.23619</t>
  </si>
  <si>
    <t>50.124421</t>
  </si>
  <si>
    <t>zsliba@zsliba.cz</t>
  </si>
  <si>
    <t>https://zsliba.cz/w/</t>
  </si>
  <si>
    <t>Základní škola a mateřská škola Hazlov, okres Cheb, příspěvková organizace</t>
  </si>
  <si>
    <t>Hazlov 119, 35132 Hazlov</t>
  </si>
  <si>
    <t>Hazlov</t>
  </si>
  <si>
    <t>12.275193</t>
  </si>
  <si>
    <t>50.158432</t>
  </si>
  <si>
    <t>martinkova@zshazlov.cz</t>
  </si>
  <si>
    <t>http://zshazlov.cz</t>
  </si>
  <si>
    <t>Základní škola Františkovy Lázně, Česká 39/1</t>
  </si>
  <si>
    <t>Česká 39/1, 35101 Františkovy Lázně</t>
  </si>
  <si>
    <t>Františkovy Lázně</t>
  </si>
  <si>
    <t>12.343193</t>
  </si>
  <si>
    <t>50.124634</t>
  </si>
  <si>
    <t>info@zsfrlazne.cz</t>
  </si>
  <si>
    <t>https://zsfrlazne.edupage.org/</t>
  </si>
  <si>
    <t>Dům dětí a mládeže a školní družina Františkovy Lázně</t>
  </si>
  <si>
    <t>Dlouhá 181/6, 35101 Františkovy Lázně</t>
  </si>
  <si>
    <t>12.345389</t>
  </si>
  <si>
    <t>50.121809</t>
  </si>
  <si>
    <t>reneta.dumdeti@tiscali.cz</t>
  </si>
  <si>
    <t>https://www.ddmsdfl.cz/</t>
  </si>
  <si>
    <t>Mateřská škola Pramínky</t>
  </si>
  <si>
    <t>Česká 350/14, 35101 Františkovy Lázně</t>
  </si>
  <si>
    <t>12.345444</t>
  </si>
  <si>
    <t>50.12443</t>
  </si>
  <si>
    <t>1msfl@seznam.cz</t>
  </si>
  <si>
    <t>https://www.mspraminky.cz/</t>
  </si>
  <si>
    <t>Základní škola a mateřská škola Plesná, příspěvková organizace</t>
  </si>
  <si>
    <t>Školní 254, 35135 Plesná</t>
  </si>
  <si>
    <t>Plesná</t>
  </si>
  <si>
    <t>12.348287</t>
  </si>
  <si>
    <t>50.222169</t>
  </si>
  <si>
    <t>zsplesna@zsplesna.cz</t>
  </si>
  <si>
    <t>https://www.zsplesna.cz/</t>
  </si>
  <si>
    <t>Mateřská škola Františkovy Lázně, Školní 182</t>
  </si>
  <si>
    <t>Školní 182/1, 35101 Františkovy Lázně</t>
  </si>
  <si>
    <t>12.350039</t>
  </si>
  <si>
    <t>50.123381</t>
  </si>
  <si>
    <t>3msfl@tiscali.cz</t>
  </si>
  <si>
    <t>https://www.msfrantiskovylazne.cz/</t>
  </si>
  <si>
    <t>Základní umělecká škola Járy Cimrmana Františkovy Lázně</t>
  </si>
  <si>
    <t>Školní 219/3, 35101 Františkovy Lázně</t>
  </si>
  <si>
    <t>12.35049</t>
  </si>
  <si>
    <t>50.124365</t>
  </si>
  <si>
    <t>info@zusfrantiskovylazne.cz</t>
  </si>
  <si>
    <t>https://www.zusfrantiskovylazne.cz/</t>
  </si>
  <si>
    <t>Mateřská škola Cheb, Do Zátiší 3, příspěvková organizace</t>
  </si>
  <si>
    <t>Do Zátiší 1483/3, 35002 Cheb</t>
  </si>
  <si>
    <t>12.353863</t>
  </si>
  <si>
    <t>50.073108</t>
  </si>
  <si>
    <t>info@ms-skalka.cz</t>
  </si>
  <si>
    <t>https://www.ms-skalka.cz/</t>
  </si>
  <si>
    <t>1. základní škola Cheb, Americká 36, příspěvková organizace</t>
  </si>
  <si>
    <t>Americká 1453/36, 35002 Cheb</t>
  </si>
  <si>
    <t>12.35444</t>
  </si>
  <si>
    <t>50.075292</t>
  </si>
  <si>
    <t>sekretariat@1zscheb.eu</t>
  </si>
  <si>
    <t>https://1zscheb.edupage.org/</t>
  </si>
  <si>
    <t>Dům dětí a mládeže Sova Cheb, Goethova 26, příspěvková organizace</t>
  </si>
  <si>
    <t>Goethova 1108/26, 35002 Cheb</t>
  </si>
  <si>
    <t>12.357336</t>
  </si>
  <si>
    <t>50.078424</t>
  </si>
  <si>
    <t>ddmcheb@ddmcheb.cz</t>
  </si>
  <si>
    <t>https://www.ddmcheb.cz/</t>
  </si>
  <si>
    <t>Základní škola Skalná, příspěvková organizace</t>
  </si>
  <si>
    <t>Sportovní 260, 35134 Skalná</t>
  </si>
  <si>
    <t>Skalná</t>
  </si>
  <si>
    <t>12.360707</t>
  </si>
  <si>
    <t>50.172943</t>
  </si>
  <si>
    <t>zsskalna@zsskalna.cz</t>
  </si>
  <si>
    <t>https://www.zsskalna.cz/index.php?type=Blog&amp;id=20&amp;ids=12</t>
  </si>
  <si>
    <t>Mateřská škola Skalná, příspěvková organizace</t>
  </si>
  <si>
    <t>Česká 273, 35134 Skalná</t>
  </si>
  <si>
    <t>12.363807</t>
  </si>
  <si>
    <t>50.172493</t>
  </si>
  <si>
    <t>ms.skalna@atlas.cz</t>
  </si>
  <si>
    <t>http://msskalna.cz/</t>
  </si>
  <si>
    <t>4. základní škola Cheb, Hradební 14, příspěvková organizace</t>
  </si>
  <si>
    <t>Hradební 52/14, 35002 Cheb</t>
  </si>
  <si>
    <t>12.365991</t>
  </si>
  <si>
    <t>50.078147</t>
  </si>
  <si>
    <t>4zscheb@seznam.cz</t>
  </si>
  <si>
    <t>https://www.4zscheb.cz/</t>
  </si>
  <si>
    <t>Základní umělecká škola Jindřicha Jindřicha Cheb, Židovská 8, příspěvková organizace</t>
  </si>
  <si>
    <t>Židovská 406/8, 35011 Cheb</t>
  </si>
  <si>
    <t>12.368432</t>
  </si>
  <si>
    <t>50.079415</t>
  </si>
  <si>
    <t>zuscheb@zuscheb.cz</t>
  </si>
  <si>
    <t>https://www.zuscheb.cz/</t>
  </si>
  <si>
    <t>2. základní škola Cheb, Májová 14, příspěvková organizace</t>
  </si>
  <si>
    <t>Májová 252/14, 35002 Cheb</t>
  </si>
  <si>
    <t>12.369713</t>
  </si>
  <si>
    <t>50.075177</t>
  </si>
  <si>
    <t>sekretariat@2zscheb.cz</t>
  </si>
  <si>
    <t>https://www.2zscheb.cz/</t>
  </si>
  <si>
    <t>Mateřská škola Cheb, 26. dubna 39, příspěvková organizace</t>
  </si>
  <si>
    <t>26. dubna 168/39, 35002 Cheb</t>
  </si>
  <si>
    <t>12.370258</t>
  </si>
  <si>
    <t>50.072605</t>
  </si>
  <si>
    <t>mat.skola.pohadka@seznam.cz</t>
  </si>
  <si>
    <t>https://www.skolkapohadka.cz/</t>
  </si>
  <si>
    <t>Základní škola Cheb, Kostelní náměstí 14, příspěvková organizace</t>
  </si>
  <si>
    <t>Kostelní náměstí 185/14, 35002 Cheb</t>
  </si>
  <si>
    <t>12.371052</t>
  </si>
  <si>
    <t>50.0806</t>
  </si>
  <si>
    <t>kostelni@zs-cheb.cz</t>
  </si>
  <si>
    <t>https://zs-cheb.cz/</t>
  </si>
  <si>
    <t>Mateřská škola Cheb, Osvobození 67, příspěvková organizace</t>
  </si>
  <si>
    <t>Osvobození 1218/67, 35002 Cheb</t>
  </si>
  <si>
    <t>12.371877</t>
  </si>
  <si>
    <t>50.066552</t>
  </si>
  <si>
    <t>slunicko@msosvobozeni.cz</t>
  </si>
  <si>
    <t>https://www.msosvobozeni.cz/</t>
  </si>
  <si>
    <t>5. základní škola Cheb, Matěje Kopeckého 1, příspěvková organizace</t>
  </si>
  <si>
    <t>Matěje Kopeckého 1160/1, 35002 Cheb</t>
  </si>
  <si>
    <t>12.372174</t>
  </si>
  <si>
    <t>50.065649</t>
  </si>
  <si>
    <t>5zscheb@5zscheb.cz</t>
  </si>
  <si>
    <t>https://www.5zscheb.cz/</t>
  </si>
  <si>
    <t>Mateřská škola Cheb, Komenského 27, příspěvková organizace</t>
  </si>
  <si>
    <t>Komenského 642/27, 35002 Cheb</t>
  </si>
  <si>
    <t>12.372786</t>
  </si>
  <si>
    <t>50.079317</t>
  </si>
  <si>
    <t>ms.gregorova@seznam.cz</t>
  </si>
  <si>
    <t>https://www.komenskehoms.cz/</t>
  </si>
  <si>
    <t>3. základní škola Cheb, Malé náměstí 3, příspěvková organizace</t>
  </si>
  <si>
    <t>Malé náměstí 2287/3, 35002 Cheb</t>
  </si>
  <si>
    <t>12.374801</t>
  </si>
  <si>
    <t>50.087193</t>
  </si>
  <si>
    <t>3zscheb@3zscheb.cz</t>
  </si>
  <si>
    <t>https://3zscheb.cz/</t>
  </si>
  <si>
    <t>6. základní škola Cheb, Obětí nacismu 16, příspěvková organizace</t>
  </si>
  <si>
    <t>Obětí nacismu 1127/16, 35002 Cheb</t>
  </si>
  <si>
    <t>12.374847</t>
  </si>
  <si>
    <t>50.072606</t>
  </si>
  <si>
    <t>6zscheb@6zscheb.cz</t>
  </si>
  <si>
    <t>https://www.6zscheb.cz/</t>
  </si>
  <si>
    <t>Mateřská škola Cheb, Malé náměstí 2, příspěvková organizace</t>
  </si>
  <si>
    <t>Malé náměstí 2196/2, 35002 Cheb</t>
  </si>
  <si>
    <t>12.376434</t>
  </si>
  <si>
    <t>50.087042</t>
  </si>
  <si>
    <t>info.matskola2@volny.cz</t>
  </si>
  <si>
    <t>https://www.mszlatacek.cz/</t>
  </si>
  <si>
    <t>Mateřská škola Cheb, Bezručova 1, příspěvková organizace</t>
  </si>
  <si>
    <t>Bezručova 1274/1, 35002 Cheb</t>
  </si>
  <si>
    <t>12.37644</t>
  </si>
  <si>
    <t>50.070774</t>
  </si>
  <si>
    <t>msbezrucova@volny.cz</t>
  </si>
  <si>
    <t>https://www.msbezrucova.cz/</t>
  </si>
  <si>
    <t>Mateřská škola Luby, okres Cheb, příspěvková organizace</t>
  </si>
  <si>
    <t>Tovární 743, 35137 Luby</t>
  </si>
  <si>
    <t>Luby</t>
  </si>
  <si>
    <t>12.398909</t>
  </si>
  <si>
    <t>50.256389</t>
  </si>
  <si>
    <t>ms.luby@c-box.cz</t>
  </si>
  <si>
    <t>https://msluby.estranky.cz/</t>
  </si>
  <si>
    <t>Dům dětí a mládeže a školní družina Luby, příspěvková organizace</t>
  </si>
  <si>
    <t>Tovární 742, 35137 Luby</t>
  </si>
  <si>
    <t>12.399183</t>
  </si>
  <si>
    <t>50.256227</t>
  </si>
  <si>
    <t>meddm.luby@quick.cz</t>
  </si>
  <si>
    <t>https://www.ddmluby.cz/</t>
  </si>
  <si>
    <t>Mateřská škola, Třebeň, okres Cheb</t>
  </si>
  <si>
    <t>Třebeň 17, 35134 Skalná</t>
  </si>
  <si>
    <t>12.399953</t>
  </si>
  <si>
    <t>50.128788</t>
  </si>
  <si>
    <t>ms.treben@seznam.cz</t>
  </si>
  <si>
    <t>https://www.mstreben.cz/</t>
  </si>
  <si>
    <t>Základní umělecká škola Luby, okres Cheb, příspěvková organizace</t>
  </si>
  <si>
    <t>Masarykova 178, 35137 Luby</t>
  </si>
  <si>
    <t>12.404173</t>
  </si>
  <si>
    <t>50.255344</t>
  </si>
  <si>
    <t>zus-luby@seznam.cz</t>
  </si>
  <si>
    <t>https://zusluby.cz/</t>
  </si>
  <si>
    <t>Základní škola Luby, okres Cheb, příspěvková organizace</t>
  </si>
  <si>
    <t>Masarykova 195, 35137 Luby</t>
  </si>
  <si>
    <t>12.404343</t>
  </si>
  <si>
    <t>50.255877</t>
  </si>
  <si>
    <t>sekretariat@zsluby.cz</t>
  </si>
  <si>
    <t>https://zsluby.edupage.org/</t>
  </si>
  <si>
    <t>Základní škola a mateřská škola Nový Kostel, okres Cheb, příspěvková organizace</t>
  </si>
  <si>
    <t>Nový Kostel 84, 35134 Nový Kostel</t>
  </si>
  <si>
    <t>Nový Kostel</t>
  </si>
  <si>
    <t>12.445659</t>
  </si>
  <si>
    <t>50.216206</t>
  </si>
  <si>
    <t>reditelka@skola-nk.cz</t>
  </si>
  <si>
    <t>https://www.skola-nk.cz/</t>
  </si>
  <si>
    <t>Základní škola a mateřská škola Lipová, okres Cheb</t>
  </si>
  <si>
    <t>Lipová 128, 35002 Lipová</t>
  </si>
  <si>
    <t>Lipová</t>
  </si>
  <si>
    <t>12.446194</t>
  </si>
  <si>
    <t>50.036337</t>
  </si>
  <si>
    <t>skolalipova-cheb@seznam.cz</t>
  </si>
  <si>
    <t>https://www.skolalipova.cz/</t>
  </si>
  <si>
    <t>Základní škola a mateřská škola Milhostov, okres Cheb</t>
  </si>
  <si>
    <t>Milhostov 69, 35002 Milhostov</t>
  </si>
  <si>
    <t>Milhostov</t>
  </si>
  <si>
    <t>12.453552</t>
  </si>
  <si>
    <t>50.157448</t>
  </si>
  <si>
    <t>http://www.zsamsmilhostov.cz/</t>
  </si>
  <si>
    <t>Mateřská škola Okrouhlá</t>
  </si>
  <si>
    <t>Okrouhlá 7, 35002 Cheb</t>
  </si>
  <si>
    <t>12.484918</t>
  </si>
  <si>
    <t>50.061532</t>
  </si>
  <si>
    <t>msokrouhla@seznam.cz</t>
  </si>
  <si>
    <t>https://msokrouhla.estranky.cz/</t>
  </si>
  <si>
    <t>Mateřská škola Kraslice, Barvířská 1771, příspěvková organizace</t>
  </si>
  <si>
    <t>Barvířská 1771, 35801 Kraslice</t>
  </si>
  <si>
    <t>12.50154</t>
  </si>
  <si>
    <t>50.333413</t>
  </si>
  <si>
    <t>msskola.kraslice@tiscali.cz</t>
  </si>
  <si>
    <t>https://www.msbarvicka.cz/</t>
  </si>
  <si>
    <t>Základní škola Kraslice, Opletalova 1121, příspěvková organizace</t>
  </si>
  <si>
    <t>Opletalova 1121/1, 35801 Kraslice</t>
  </si>
  <si>
    <t>12.502529</t>
  </si>
  <si>
    <t>50.334228</t>
  </si>
  <si>
    <t>zspskraslice@seznam.cz</t>
  </si>
  <si>
    <t>https://www.zspskraslice.cz/</t>
  </si>
  <si>
    <t>Mateřská škola Kraslice, Boženy Němcové 1685, příspěvková organizace</t>
  </si>
  <si>
    <t>B. Němcové 1685/10, 35801 Kraslice</t>
  </si>
  <si>
    <t>12.504634</t>
  </si>
  <si>
    <t>50.335024</t>
  </si>
  <si>
    <t>kraslice.2.ms@volny.cz</t>
  </si>
  <si>
    <t>https://msbnemcove.estranky.cz/</t>
  </si>
  <si>
    <t>Základní umělecká škola Kraslice, příspěvková organizace</t>
  </si>
  <si>
    <t>Pohraniční stráže 67, 35801 Kraslice</t>
  </si>
  <si>
    <t>12.510445</t>
  </si>
  <si>
    <t>50.328845</t>
  </si>
  <si>
    <t>zuskraslice@volny.cz</t>
  </si>
  <si>
    <t>https://www.zuskraslice.cz/</t>
  </si>
  <si>
    <t>Mateřská škola Kraslice, Lipová cesta 1091, příspěvková organizace</t>
  </si>
  <si>
    <t>Lipová cesta 1091/17, 35801 Kraslice</t>
  </si>
  <si>
    <t>12.515283</t>
  </si>
  <si>
    <t>50.332573</t>
  </si>
  <si>
    <t>mslipova.kraslice@volny.cz</t>
  </si>
  <si>
    <t>https://www.mszamecek.cz/</t>
  </si>
  <si>
    <t>Střední škola, základní škola a mateřská škola Kraslice, příspěvková organizace</t>
  </si>
  <si>
    <t>Havlíčkova 1717, 35801 Kraslice</t>
  </si>
  <si>
    <t>12.515958</t>
  </si>
  <si>
    <t>50.33237</t>
  </si>
  <si>
    <t>zskraslice@volny.cz</t>
  </si>
  <si>
    <t>https://www.skolakraslice.cz/</t>
  </si>
  <si>
    <t>Základní škola Kraslice, Dukelská 1122, příspěvková organizace</t>
  </si>
  <si>
    <t>Dukelská 1122/53, 35801 Kraslice</t>
  </si>
  <si>
    <t>12.516058</t>
  </si>
  <si>
    <t>50.324826</t>
  </si>
  <si>
    <t>zs2kraslice@zs2kraslice.cz</t>
  </si>
  <si>
    <t>https://www.zs2kraslice.cz/</t>
  </si>
  <si>
    <t>Dům dětí a mládeže Kraslice, příspěvková organizace</t>
  </si>
  <si>
    <t>Havlíčkova 1286/59, 35801 Kraslice</t>
  </si>
  <si>
    <t>12.517335</t>
  </si>
  <si>
    <t>50.332365</t>
  </si>
  <si>
    <t>dum_deti@volny.cz</t>
  </si>
  <si>
    <t>https://www.ddmkraslice.cz/</t>
  </si>
  <si>
    <t>Mateřská škola Kraslice, U Elektrárny 1777, příspěvková organizace</t>
  </si>
  <si>
    <t>U Elektrárny 1777, 35801 Kraslice</t>
  </si>
  <si>
    <t>12.517819</t>
  </si>
  <si>
    <t>50.319372</t>
  </si>
  <si>
    <t>ms.uelektrarny@tiscali.cz</t>
  </si>
  <si>
    <t>https://www.msuelektrarny.cz/cs</t>
  </si>
  <si>
    <t>Základní umělecká škola Kynšperk nad Ohří, okres Sokolov, příspěvková organizace</t>
  </si>
  <si>
    <t>Sokolovská 511/29, 35751 Kynšperk nad Ohří</t>
  </si>
  <si>
    <t>Kynšperk nad Ohří</t>
  </si>
  <si>
    <t>12.53089</t>
  </si>
  <si>
    <t>50.123627</t>
  </si>
  <si>
    <t>info@zuskynsperk.cz</t>
  </si>
  <si>
    <t>http://www.zuskynsperk.cz/</t>
  </si>
  <si>
    <t>Mateřská škola Kynšperk nad Ohří, U Pivovaru 367, okres Sokolov, příspěvková organizace</t>
  </si>
  <si>
    <t>U Pivovaru 367/3, 35751 Kynšperk nad Ohří</t>
  </si>
  <si>
    <t>12.53313</t>
  </si>
  <si>
    <t>50.123196</t>
  </si>
  <si>
    <t>skolkaupivovaru@volny.cz</t>
  </si>
  <si>
    <t>https://www.mskynsperk.cz/</t>
  </si>
  <si>
    <t>Základní škola Kynšperk nad Ohří, okres Sokolov, příspěvková organizace</t>
  </si>
  <si>
    <t>Jana A. Komenského 540/7, 35751 Kynšperk nad Ohří</t>
  </si>
  <si>
    <t>12.533253</t>
  </si>
  <si>
    <t>50.118871</t>
  </si>
  <si>
    <t>sekretariat@zs-kynsperk.cz</t>
  </si>
  <si>
    <t>http://www.zs-kynsperk.cz/</t>
  </si>
  <si>
    <t>Mateřská škola Kynšperk, Zahradní 385, okres Sokolov, příspěvková organizace</t>
  </si>
  <si>
    <t>Zahradní 385/3, 35751 Kynšperk nad Ohří</t>
  </si>
  <si>
    <t>12.534398</t>
  </si>
  <si>
    <t>50.116323</t>
  </si>
  <si>
    <t>mskynsperk@seznam.cz</t>
  </si>
  <si>
    <t>https://mskynsperk.estranky.cz/</t>
  </si>
  <si>
    <t>Základní škola a mateřská škola Krajková, příspěvková organizace</t>
  </si>
  <si>
    <t>Krajková 22, 35708 Krajková</t>
  </si>
  <si>
    <t>Krajková</t>
  </si>
  <si>
    <t>12.535333</t>
  </si>
  <si>
    <t>50.216153</t>
  </si>
  <si>
    <t>sekretariat@skola-krajkova.cz</t>
  </si>
  <si>
    <t>https://www.skola-krajkova.cz/</t>
  </si>
  <si>
    <t>Mateřská škola Duhová Habartov, okres Sokolov, příspěvková organizace</t>
  </si>
  <si>
    <t>Karla Čapka 769, 35709 Habartov</t>
  </si>
  <si>
    <t>Habartov</t>
  </si>
  <si>
    <t>12.545176</t>
  </si>
  <si>
    <t>50.183753</t>
  </si>
  <si>
    <t>skolka.habartov@centrum.cz</t>
  </si>
  <si>
    <t>https://www.msduhova.cz/</t>
  </si>
  <si>
    <t>Základní škola Habartov, Karla Čapka 119, okres Sokolov</t>
  </si>
  <si>
    <t>Karla Čapka 119, 35709 Habartov</t>
  </si>
  <si>
    <t>12.549779</t>
  </si>
  <si>
    <t>50.184746</t>
  </si>
  <si>
    <t>zs1habartov@volny.cz</t>
  </si>
  <si>
    <t>https://www.mestohabartov.cz/zakladni-skola-habartov-karla-capka-119-okres-sokolov/os-1013</t>
  </si>
  <si>
    <t>Základní umělecká škola Habartov, okres Sokolov, příspěvková organizace</t>
  </si>
  <si>
    <t>Komenského 312, 35709 Habartov</t>
  </si>
  <si>
    <t>12.550302</t>
  </si>
  <si>
    <t>50.179141</t>
  </si>
  <si>
    <t>zushabartov@seznam.cz</t>
  </si>
  <si>
    <t>https://www.zushabartov.cz/</t>
  </si>
  <si>
    <t>Mateřská škola Habartov, Okružní 111, okres Sokolov</t>
  </si>
  <si>
    <t>Okružní 111, 35709 Habartov</t>
  </si>
  <si>
    <t>12.551053</t>
  </si>
  <si>
    <t>50.181376</t>
  </si>
  <si>
    <t>skolka1.habartov@volny.cz</t>
  </si>
  <si>
    <t>https://www.skolkahabartov.cz/</t>
  </si>
  <si>
    <t>Základní škola a mateřská škola Dolní Žandov, okres Cheb, příspěvková organizace</t>
  </si>
  <si>
    <t>Dolní Žandov 37, 35493 Dolní Žandov</t>
  </si>
  <si>
    <t>Dolní Žandov</t>
  </si>
  <si>
    <t>12.553422</t>
  </si>
  <si>
    <t>50.017974</t>
  </si>
  <si>
    <t>sekretariat@zsdolnizandov.cz</t>
  </si>
  <si>
    <t>http://zsdolnizandov.cz/</t>
  </si>
  <si>
    <t>Základní škola a mateřská škola Libavské Údolí, okres Sokolov</t>
  </si>
  <si>
    <t>Libavské Údolí 109, 35751 Kynšperk nad Ohří</t>
  </si>
  <si>
    <t>12.553433</t>
  </si>
  <si>
    <t>50.126788</t>
  </si>
  <si>
    <t>jaroslava.mareckova@zslu.cz</t>
  </si>
  <si>
    <t>https://www.zslu.cz/</t>
  </si>
  <si>
    <t>Základní škola a mateřská škola Rotava, příspěvková organizace</t>
  </si>
  <si>
    <t>Nová Plzeň 673, 35701 Rotava</t>
  </si>
  <si>
    <t>Rotava</t>
  </si>
  <si>
    <t>12.559766</t>
  </si>
  <si>
    <t>50.302436</t>
  </si>
  <si>
    <t>zs@zs.rotava.cz</t>
  </si>
  <si>
    <t>https://zsms.rotava.cz/</t>
  </si>
  <si>
    <t>Základní škola a mateřská škola Oloví, příspěvková organizace</t>
  </si>
  <si>
    <t>Smetanova 1, 35707 Oloví</t>
  </si>
  <si>
    <t>Oloví</t>
  </si>
  <si>
    <t>12.560256</t>
  </si>
  <si>
    <t>50.245479</t>
  </si>
  <si>
    <t>zsolovi@seznam.cz</t>
  </si>
  <si>
    <t>https://www.zsamsolovi.cz/</t>
  </si>
  <si>
    <t>Základní škola Bukovany, okres Sokolov</t>
  </si>
  <si>
    <t>Bukovany 146, 35755 Bukovany</t>
  </si>
  <si>
    <t>Bukovany</t>
  </si>
  <si>
    <t>12.57288</t>
  </si>
  <si>
    <t>50.162864</t>
  </si>
  <si>
    <t>zs.bukovany@volny.cz</t>
  </si>
  <si>
    <t>https://www.zsbukovany.eu/</t>
  </si>
  <si>
    <t>Mateřská škola Bukovany, okres Sokolov</t>
  </si>
  <si>
    <t>Bukovany 145, 35755 Bukovany</t>
  </si>
  <si>
    <t>12.573856</t>
  </si>
  <si>
    <t>50.162544</t>
  </si>
  <si>
    <t>ms.bukovany@volny.cz</t>
  </si>
  <si>
    <t>https://www.ms-bukovany.cz/</t>
  </si>
  <si>
    <t>Mateřská škola Šabina, okres Sokolov</t>
  </si>
  <si>
    <t>Šabina 80, 35601 Sokolov</t>
  </si>
  <si>
    <t>12.583547</t>
  </si>
  <si>
    <t>50.135751</t>
  </si>
  <si>
    <t>mssabina@volny.cz</t>
  </si>
  <si>
    <t>https://ms-sabina.estranky.cz/clanky/o-nas/informace-o-materske-skole.html</t>
  </si>
  <si>
    <t>Základní škola a Mateřská škola Stará Voda, okres Cheb, příspěvková organizace</t>
  </si>
  <si>
    <t>Stará Voda 125, 35301 Stará Voda</t>
  </si>
  <si>
    <t>Stará Voda</t>
  </si>
  <si>
    <t>12.594705</t>
  </si>
  <si>
    <t>49.993039</t>
  </si>
  <si>
    <t>zsstaravoda@seznam.cz</t>
  </si>
  <si>
    <t>https://zsstaravoda.estranky.cz/</t>
  </si>
  <si>
    <t>Základní škola a mateřská škola Jindřichovice, příspěvková organizace</t>
  </si>
  <si>
    <t>Jindřichovice 232, 35801 Jindřichovice</t>
  </si>
  <si>
    <t>Jindřichovice</t>
  </si>
  <si>
    <t>12.602613</t>
  </si>
  <si>
    <t>50.281966</t>
  </si>
  <si>
    <t>reditelka@skolajindrichovice.cz</t>
  </si>
  <si>
    <t>https://skolajindrichovice.cz/</t>
  </si>
  <si>
    <t>Základní škola a mateřská škola Tři Sekery, okres Cheb, příspěvková organizace</t>
  </si>
  <si>
    <t>Tři Sekery 79, 35473 Tři Sekery</t>
  </si>
  <si>
    <t>Tři Sekery</t>
  </si>
  <si>
    <t>12.612733</t>
  </si>
  <si>
    <t>49.942032</t>
  </si>
  <si>
    <t>skolatrisek@seznam.cz</t>
  </si>
  <si>
    <t>https://www.zstrisekery.cz/</t>
  </si>
  <si>
    <t>Mateřská škola Citice, příspěvková organizace</t>
  </si>
  <si>
    <t>Citice 200, 35601 Citice</t>
  </si>
  <si>
    <t>Citice</t>
  </si>
  <si>
    <t>12.615559</t>
  </si>
  <si>
    <t>50.158609</t>
  </si>
  <si>
    <t>reditelka@mscitice.cz</t>
  </si>
  <si>
    <t>https://www.mscitice.cz/</t>
  </si>
  <si>
    <t>Základní škola a mateřská škola Lázně Kynžvart, okres Cheb, příspěvková organizace</t>
  </si>
  <si>
    <t>K Rybníku 346, 35491 Lázně Kynžvart</t>
  </si>
  <si>
    <t>Lázně Kynžvart</t>
  </si>
  <si>
    <t>12.62662</t>
  </si>
  <si>
    <t>50.006921</t>
  </si>
  <si>
    <t>reditel@zslk.cz</t>
  </si>
  <si>
    <t>https://www.zslk.cz/</t>
  </si>
  <si>
    <t>Mateřská škola Lomnice, okres Sokolov, příspěvková organizace</t>
  </si>
  <si>
    <t>Kraslická 36, 35704 Lomnice</t>
  </si>
  <si>
    <t>Lomnice</t>
  </si>
  <si>
    <t>12.630349</t>
  </si>
  <si>
    <t>50.212089</t>
  </si>
  <si>
    <t>skolka.lomnice@volny.cz</t>
  </si>
  <si>
    <t>https://www.mslomnice.cz/</t>
  </si>
  <si>
    <t>Základní škola Lomnice, okres Sokolov, příspěvková organizace</t>
  </si>
  <si>
    <t>Školní 234, 35601 Lomnice</t>
  </si>
  <si>
    <t>12.631071</t>
  </si>
  <si>
    <t>50.211506</t>
  </si>
  <si>
    <t>info@lomnicezs.cz</t>
  </si>
  <si>
    <t>https://www.lomnicezs.cz/</t>
  </si>
  <si>
    <t>Základní umělecká škola Sokolov, Staré náměstí 37</t>
  </si>
  <si>
    <t>Staré náměstí 37, 35601 Sokolov</t>
  </si>
  <si>
    <t>12.639671</t>
  </si>
  <si>
    <t>50.181331</t>
  </si>
  <si>
    <t>zus.sokolov@volny.cz</t>
  </si>
  <si>
    <t>https://www.zussokolov.cz/</t>
  </si>
  <si>
    <t>Mateřská škola Sokolov, Vrchlického 80</t>
  </si>
  <si>
    <t>Vrchlického 80, 35601 Sokolov</t>
  </si>
  <si>
    <t>12.639916</t>
  </si>
  <si>
    <t>50.178688</t>
  </si>
  <si>
    <t>ms.vrchlickeho@seznam.cz</t>
  </si>
  <si>
    <t>https://msvrchlickeho.webnode.cz/</t>
  </si>
  <si>
    <t>Základní škola Sokolov, Rokycanova 258</t>
  </si>
  <si>
    <t>Rokycanova 258, 35601 Sokolov</t>
  </si>
  <si>
    <t>12.642587</t>
  </si>
  <si>
    <t>50.182034</t>
  </si>
  <si>
    <t>petra.siskova@2zs-sokolov.cz</t>
  </si>
  <si>
    <t>https://2zs.sokolov.cz/</t>
  </si>
  <si>
    <t>Mateřská škola Březová, Komenského 11, okres Sokolov</t>
  </si>
  <si>
    <t>Komenského 11, 35761 Březová</t>
  </si>
  <si>
    <t>Březová</t>
  </si>
  <si>
    <t>12.643175</t>
  </si>
  <si>
    <t>50.14676</t>
  </si>
  <si>
    <t>ms1brezova@c-box.cz</t>
  </si>
  <si>
    <t>https://skolka-komenskeho.cz/</t>
  </si>
  <si>
    <t>Mateřská škola Dolní Rychnov, okres Sokolov</t>
  </si>
  <si>
    <t>Šafaříkova 17, 35604 Dolní Rychnov</t>
  </si>
  <si>
    <t>Dolní Rychnov</t>
  </si>
  <si>
    <t>12.644262</t>
  </si>
  <si>
    <t>50.16419</t>
  </si>
  <si>
    <t>msdolnirychnov@seznam.cz</t>
  </si>
  <si>
    <t>https://www.msdolnirychnov.cz/</t>
  </si>
  <si>
    <t>Mateřská škola Sokolov, Vítězná 725</t>
  </si>
  <si>
    <t>Vítězná 725, 35601 Sokolov</t>
  </si>
  <si>
    <t>12.64481</t>
  </si>
  <si>
    <t>50.174863</t>
  </si>
  <si>
    <t>skolka@barevnyklicek.cz</t>
  </si>
  <si>
    <t>https://www.barevnyklicek.cz/</t>
  </si>
  <si>
    <t>Základní škola Březová, okres Sokolov</t>
  </si>
  <si>
    <t>Komenského 232, 35761 Březová</t>
  </si>
  <si>
    <t>12.645707</t>
  </si>
  <si>
    <t>50.146118</t>
  </si>
  <si>
    <t>info@zs-brezova.cz</t>
  </si>
  <si>
    <t>https://www.zs-brezova.cz/</t>
  </si>
  <si>
    <t>Základní škola Sokolov, Pionýrů 1614</t>
  </si>
  <si>
    <t>Pionýrů 1614, 35601 Sokolov</t>
  </si>
  <si>
    <t>12.645845</t>
  </si>
  <si>
    <t>50.182094</t>
  </si>
  <si>
    <t>skola@1zs-sokolov.cz</t>
  </si>
  <si>
    <t>https://1zs-sokolov.cz/</t>
  </si>
  <si>
    <t>Základní škola Sokolov, Běžecká 2055</t>
  </si>
  <si>
    <t>Běžecká 2055, 35601 Sokolov</t>
  </si>
  <si>
    <t>12.647605</t>
  </si>
  <si>
    <t>50.171303</t>
  </si>
  <si>
    <t>zs5sokolov@volny.cz</t>
  </si>
  <si>
    <t>https://www.zs-sokolov.cz/index.php?type=Post&amp;id=8</t>
  </si>
  <si>
    <t>Mateřská škola Březová, Smetanova 218, okres Sokolov</t>
  </si>
  <si>
    <t>Smetanova 218, 35761 Březová</t>
  </si>
  <si>
    <t>12.648239</t>
  </si>
  <si>
    <t>50.145953</t>
  </si>
  <si>
    <t>mateskolka2@gmail.com</t>
  </si>
  <si>
    <t>https://ms-brezova.cz/</t>
  </si>
  <si>
    <t>Mateřská škola Sokolov, Pionýrů 1344</t>
  </si>
  <si>
    <t>Pionýrů 1344, 35601 Sokolov</t>
  </si>
  <si>
    <t>12.64886</t>
  </si>
  <si>
    <t>50.181676</t>
  </si>
  <si>
    <t>1ms.so@seznam.cz</t>
  </si>
  <si>
    <t>https://www.nejskolka.cz/</t>
  </si>
  <si>
    <t>Mateřská škola Sokolov, Karla Havlíčka Borovského 1527</t>
  </si>
  <si>
    <t>K. H. Borovského 1527, 35601 Sokolov</t>
  </si>
  <si>
    <t>12.650428</t>
  </si>
  <si>
    <t>50.178614</t>
  </si>
  <si>
    <t>ms.borovskeho@seznam.cz</t>
  </si>
  <si>
    <t>https://msborovskeho.cz/</t>
  </si>
  <si>
    <t>Dům dětí a mládeže, Sokolov, Spartakiádní 1937, příspěvková organizace</t>
  </si>
  <si>
    <t>Spartakiádní 1937, 35601 Sokolov</t>
  </si>
  <si>
    <t>12.650551</t>
  </si>
  <si>
    <t>50.171478</t>
  </si>
  <si>
    <t>sokolovddm@ddmsokolov.cz</t>
  </si>
  <si>
    <t>https://www.ddmsokolov.cz/</t>
  </si>
  <si>
    <t>Základní škola a Mateřská škola Drmoul, okres Cheb, příspěvková organizace</t>
  </si>
  <si>
    <t>Školní 26, 35472 Drmoul</t>
  </si>
  <si>
    <t>Drmoul</t>
  </si>
  <si>
    <t>12.664041</t>
  </si>
  <si>
    <t>49.937096</t>
  </si>
  <si>
    <t>zsmsdrmoul@seznam.cz</t>
  </si>
  <si>
    <t>https://www.zsamsdrmoul.cz/cs/</t>
  </si>
  <si>
    <t>Základní škola Sokolov, Křižíkova 1916</t>
  </si>
  <si>
    <t>Křižíkova 1916, 35601 Sokolov</t>
  </si>
  <si>
    <t>12.665667</t>
  </si>
  <si>
    <t>50.174528</t>
  </si>
  <si>
    <t>info@zs8so.cz</t>
  </si>
  <si>
    <t>https://www.zs8so.cz/</t>
  </si>
  <si>
    <t>Základní škola Velká Hleďsebe, okres Cheb, příspěvková organizace</t>
  </si>
  <si>
    <t>Pohraniční stráže 95, 35471 Velká Hleďsebe</t>
  </si>
  <si>
    <t>Velká Hleďsebe</t>
  </si>
  <si>
    <t>12.665795</t>
  </si>
  <si>
    <t>49.962315</t>
  </si>
  <si>
    <t>skola@zsvh.cz</t>
  </si>
  <si>
    <t>https://www.zsvh.cz/</t>
  </si>
  <si>
    <t>Mateřská škola Sokolov, Kosmonautů 1881</t>
  </si>
  <si>
    <t>Kosmonautů 1881, 35601 Sokolov</t>
  </si>
  <si>
    <t>12.666624</t>
  </si>
  <si>
    <t>50.172321</t>
  </si>
  <si>
    <t>reditelka@mskosmonautu.cz</t>
  </si>
  <si>
    <t>https://www.mskosmonautu.cz/</t>
  </si>
  <si>
    <t>Základní škola a mateřská škola Rovná, okres Sokolov, příspěvková organizace</t>
  </si>
  <si>
    <t>Rovná 36, 35601 Rovná</t>
  </si>
  <si>
    <t>Rovná</t>
  </si>
  <si>
    <t>12.667248</t>
  </si>
  <si>
    <t>50.104992</t>
  </si>
  <si>
    <t>zs.rovna@seznam.cz</t>
  </si>
  <si>
    <t>https://www.skolarovna.cz/</t>
  </si>
  <si>
    <t>Mateřská škola Sokolov, Marie Majerové 1650</t>
  </si>
  <si>
    <t>Marie Majerové 1650, 35601 Sokolov</t>
  </si>
  <si>
    <t>12.670755</t>
  </si>
  <si>
    <t>50.175869</t>
  </si>
  <si>
    <t>mssomajerova@centrum.cz</t>
  </si>
  <si>
    <t>https://www.mssomajerova.cz/</t>
  </si>
  <si>
    <t>Základní škola Sokolov, Švabinského 1702</t>
  </si>
  <si>
    <t>Švabinského 1702, 35601 Sokolov</t>
  </si>
  <si>
    <t>12.671041</t>
  </si>
  <si>
    <t>50.172971</t>
  </si>
  <si>
    <t>skola@6zs-sokolov.cz</t>
  </si>
  <si>
    <t>https://www.6zs-sokolov.cz/</t>
  </si>
  <si>
    <t>Základní škola Královské Poříčí, okres Sokolov</t>
  </si>
  <si>
    <t>Dlouhá 63, 35741 Královské Poříčí</t>
  </si>
  <si>
    <t>Královské Poříčí</t>
  </si>
  <si>
    <t>12.672134</t>
  </si>
  <si>
    <t>50.188069</t>
  </si>
  <si>
    <t>info@zskralovskeporici.cz</t>
  </si>
  <si>
    <t>https://www.zskralovskeporici.cz/</t>
  </si>
  <si>
    <t>Mateřská škola Sokolov, Alšova 1746</t>
  </si>
  <si>
    <t>Alšova 1746, 35601 Sokolov</t>
  </si>
  <si>
    <t>12.673516</t>
  </si>
  <si>
    <t>50.174131</t>
  </si>
  <si>
    <t>msalsovasokolov@gmail.com</t>
  </si>
  <si>
    <t>https://www.msalsovasokolov.cz/</t>
  </si>
  <si>
    <t>Mateřská škola Velká Hleďsebe, okres Cheb, příspěvková organizace</t>
  </si>
  <si>
    <t>Tyršova 315, 35471 Velká Hleďsebe</t>
  </si>
  <si>
    <t>12.674368</t>
  </si>
  <si>
    <t>49.960613</t>
  </si>
  <si>
    <t>msvhre@gmail.com</t>
  </si>
  <si>
    <t>https://www.msvelkahledsebe.cz/</t>
  </si>
  <si>
    <t>Mateřská škola Klimentov, okres Cheb, příspěvková organizace</t>
  </si>
  <si>
    <t>Klimentov 118, 35471 Velká Hleďsebe</t>
  </si>
  <si>
    <t>12.67481</t>
  </si>
  <si>
    <t>49.964899</t>
  </si>
  <si>
    <t>MSKlimentov@seznam.cz</t>
  </si>
  <si>
    <t>https://www.msklimentov.cz/</t>
  </si>
  <si>
    <t>Mateřská škola Královské Poříčí, okres Sokolov</t>
  </si>
  <si>
    <t>Lázeňská 86, 35741 Královské Poříčí</t>
  </si>
  <si>
    <t>12.679694</t>
  </si>
  <si>
    <t>50.192851</t>
  </si>
  <si>
    <t>skolka.kp@volny.cz</t>
  </si>
  <si>
    <t>https://mskralovskeporici.estranky.cz/</t>
  </si>
  <si>
    <t>Mateřská škola Trstěnice, okres Cheb, příspěvková organizace</t>
  </si>
  <si>
    <t>Trstěnice 104, 35301 Trstěnice</t>
  </si>
  <si>
    <t>Trstěnice</t>
  </si>
  <si>
    <t>12.680159</t>
  </si>
  <si>
    <t>49.918774</t>
  </si>
  <si>
    <t>ms.trstenice@centrum.cz</t>
  </si>
  <si>
    <t>https://www.obectrstenice.cz/materska-skola-trstenice-okres-cheb/os-1001</t>
  </si>
  <si>
    <t>Základní škola Vítězství Mariánské Lázně, příspěvková organizace</t>
  </si>
  <si>
    <t>třída Vítězství 29/28, 35301 Mariánské Lázně</t>
  </si>
  <si>
    <t>Mariánské Lázně</t>
  </si>
  <si>
    <t>12.685031</t>
  </si>
  <si>
    <t>49.950415</t>
  </si>
  <si>
    <t>zs.spec.ml@gmail.com</t>
  </si>
  <si>
    <t>https://www.zsspec-ml.cz/</t>
  </si>
  <si>
    <t>Mateřská škola, Mariánské Lázně, Na Třešňovce 603, příspěvková organizace</t>
  </si>
  <si>
    <t>Na Třešňovce 603, 35301 Mariánské Lázně</t>
  </si>
  <si>
    <t>12.69793</t>
  </si>
  <si>
    <t>49.960039</t>
  </si>
  <si>
    <t>ms-tresnovka@seznam.cz</t>
  </si>
  <si>
    <t>https://www.mstresnovka.cz/</t>
  </si>
  <si>
    <t>Základní škola JIH, Mariánské Lázně, Komenského 459, příspěvková organizace</t>
  </si>
  <si>
    <t>Komenského 459/1, 35301 Mariánské Lázně</t>
  </si>
  <si>
    <t>12.698856</t>
  </si>
  <si>
    <t>49.962755</t>
  </si>
  <si>
    <t>sekretariat@skolajih.cz</t>
  </si>
  <si>
    <t>https://www.skolajih.cz/</t>
  </si>
  <si>
    <t>Základní umělecká škola Fryderyka Chopina, Mariánské Lázně, příspěvková organizace</t>
  </si>
  <si>
    <t>Lužická 412/4, 35301 Mariánské Lázně</t>
  </si>
  <si>
    <t>12.700233</t>
  </si>
  <si>
    <t>49.963192</t>
  </si>
  <si>
    <t>chopin@zus-ml.cz</t>
  </si>
  <si>
    <t>https://www.zus-ml.cz/</t>
  </si>
  <si>
    <t>Mateřská škola Vora, Mariánské Lázně, Za Tratí 687, příspěvková organizace</t>
  </si>
  <si>
    <t>Za Tratí 687/2, 35301 Mariánské Lázně</t>
  </si>
  <si>
    <t>12.701104</t>
  </si>
  <si>
    <t>49.95297</t>
  </si>
  <si>
    <t>msvora@post.cz</t>
  </si>
  <si>
    <t>https://msvora.cz/cs</t>
  </si>
  <si>
    <t>Mateřská škola, Mariánské Lázně, Hlavní 440, příspěvková organizace</t>
  </si>
  <si>
    <t>Hlavní 440/37, 35301 Mariánské Lázně</t>
  </si>
  <si>
    <t>12.701531</t>
  </si>
  <si>
    <t>49.962603</t>
  </si>
  <si>
    <t>3.matskola@gmail.com</t>
  </si>
  <si>
    <t>https://www.mshlavni.cz/</t>
  </si>
  <si>
    <t>Mateřská škola, Mariánské Lázně, Křižíkova 555, příspěvková organizace</t>
  </si>
  <si>
    <t>Křižíkova 555/5, 35301 Mariánské Lázně</t>
  </si>
  <si>
    <t>12.703565</t>
  </si>
  <si>
    <t>49.961827</t>
  </si>
  <si>
    <t>krizikovamsml@gmail.com</t>
  </si>
  <si>
    <t>https://ms-krizikova.cz/</t>
  </si>
  <si>
    <t>Základní škola Úšovice, Mariánské Lázně, Školní náměstí 472, příspěvková organizace</t>
  </si>
  <si>
    <t>Školní náměstí 472/3, 35301 Mariánské Lázně</t>
  </si>
  <si>
    <t>12.708411</t>
  </si>
  <si>
    <t>49.952807</t>
  </si>
  <si>
    <t>sekretariat@zsusovice.cz</t>
  </si>
  <si>
    <t>https://www.zsusovice.cz/</t>
  </si>
  <si>
    <t>Městský dům dětí a mládeže, Mariánské Lázně, 17. listopadu 475, příspěvková organizace</t>
  </si>
  <si>
    <t>17. listopadu 475/3, 35301 Mariánské Lázně</t>
  </si>
  <si>
    <t>12.710184</t>
  </si>
  <si>
    <t>49.953799</t>
  </si>
  <si>
    <t>irena.bornova@ddmml.cz</t>
  </si>
  <si>
    <t>https://www.ddmml.cz/</t>
  </si>
  <si>
    <t>Mateřská škola Úšovice, Mariánské Lázně, Skalníkova 518, příspěvková organizace</t>
  </si>
  <si>
    <t>Skalníkova 518/11, 35301 Mariánské Lázně</t>
  </si>
  <si>
    <t>12.71108</t>
  </si>
  <si>
    <t>49.94981</t>
  </si>
  <si>
    <t>7m.skola@tiscali.cz</t>
  </si>
  <si>
    <t>https://msskalnikova.websnadno.cz/</t>
  </si>
  <si>
    <t>Mateřská škola Staré Sedlo, okres Sokolov</t>
  </si>
  <si>
    <t>Zámecká 100, 35746 Staré Sedlo</t>
  </si>
  <si>
    <t>Staré Sedlo</t>
  </si>
  <si>
    <t>12.714918</t>
  </si>
  <si>
    <t>50.183259</t>
  </si>
  <si>
    <t>ms_staresedlo@razdva.cz</t>
  </si>
  <si>
    <t>https://msstaresedlo.estranky.cz/</t>
  </si>
  <si>
    <t>Základní škola Vintířov, okres Sokolov</t>
  </si>
  <si>
    <t>Vintířov 65, 35735 Vintířov</t>
  </si>
  <si>
    <t>Vintířov</t>
  </si>
  <si>
    <t>12.716801</t>
  </si>
  <si>
    <t>50.233641</t>
  </si>
  <si>
    <t>info@skolavintirov.cz</t>
  </si>
  <si>
    <t>https://skolavintirov.cz/</t>
  </si>
  <si>
    <t>Mateřská škola Vintířov, okres Sokolov</t>
  </si>
  <si>
    <t>Vintířov 170, 35744 Vintířov</t>
  </si>
  <si>
    <t>12.718559</t>
  </si>
  <si>
    <t>50.232233</t>
  </si>
  <si>
    <t>m.s.vintirov@volny.cz</t>
  </si>
  <si>
    <t>https://www.materska-skola-vintirov.cz/</t>
  </si>
  <si>
    <t>Mateřská škola Nejdek, Husova, příspěvková organizace</t>
  </si>
  <si>
    <t>Husova 547, 36221 Nejdek</t>
  </si>
  <si>
    <t>Nejdek</t>
  </si>
  <si>
    <t>12.725603</t>
  </si>
  <si>
    <t>50.321326</t>
  </si>
  <si>
    <t>ms.husova.nejdek@seznam.cz</t>
  </si>
  <si>
    <t>https://www.msnejdekhusova.cz/</t>
  </si>
  <si>
    <t>Mateřská škola Nejdek, Závodu míru, příspěvková organizace</t>
  </si>
  <si>
    <t>Závodu míru 1247, 36221 Nejdek</t>
  </si>
  <si>
    <t>12.729458</t>
  </si>
  <si>
    <t>50.327232</t>
  </si>
  <si>
    <t>ms.zm.nejdek@seznam.cz</t>
  </si>
  <si>
    <t>https://msnejdek.cz/</t>
  </si>
  <si>
    <t>Základní škola Nejdek, náměstí Karla IV., příspěvková organizace</t>
  </si>
  <si>
    <t>náměstí Karla IV. 423, 36221 Nejdek</t>
  </si>
  <si>
    <t>12.730085</t>
  </si>
  <si>
    <t>50.322196</t>
  </si>
  <si>
    <t>zsnejnam@seznam.cz</t>
  </si>
  <si>
    <t>https://www.zsnejnam.cz/</t>
  </si>
  <si>
    <t>Základní umělecká škola Nejdek, Dvořákova, příspěvková organizace</t>
  </si>
  <si>
    <t>Dvořákova 367, 36221 Nejdek</t>
  </si>
  <si>
    <t>12.731671</t>
  </si>
  <si>
    <t>50.324985</t>
  </si>
  <si>
    <t>zusnejdek@volny.cz</t>
  </si>
  <si>
    <t>https://zusnejdek.cz/</t>
  </si>
  <si>
    <t>Mateřská škola Nejdek, Nerudova, příspěvková organizace</t>
  </si>
  <si>
    <t>Nerudova 930, 36221 Nejdek</t>
  </si>
  <si>
    <t>12.73373</t>
  </si>
  <si>
    <t>50.323824</t>
  </si>
  <si>
    <t>prvnimts.nejdek@seznam.cz</t>
  </si>
  <si>
    <t>https://www.skolkakrizak.cz/</t>
  </si>
  <si>
    <t>Základní škola a mateřská škola Potůčky, okres Karlovy Vary</t>
  </si>
  <si>
    <t>Potůčky 94, 36238 Potůčky</t>
  </si>
  <si>
    <t>Potůčky</t>
  </si>
  <si>
    <t>12.737945</t>
  </si>
  <si>
    <t>50.427836</t>
  </si>
  <si>
    <t>info@zspotucky.cz</t>
  </si>
  <si>
    <t>https://www.zspotucky.cz/</t>
  </si>
  <si>
    <t>Základní škola Nové Sedlo, okres Sokolov, příspěvková organizace</t>
  </si>
  <si>
    <t>Masarykova 425, 35734 Nové Sedlo</t>
  </si>
  <si>
    <t>Nové Sedlo</t>
  </si>
  <si>
    <t>12.739108</t>
  </si>
  <si>
    <t>50.20737</t>
  </si>
  <si>
    <t>reditel@zsnovesedlo.cz</t>
  </si>
  <si>
    <t>https://www.zs-mestonovesedlo.cz/</t>
  </si>
  <si>
    <t>Mateřská škola Loket, okres Sokolov</t>
  </si>
  <si>
    <t>Sportovní 561, 35733 Loket</t>
  </si>
  <si>
    <t>Loket</t>
  </si>
  <si>
    <t>12.740007</t>
  </si>
  <si>
    <t>50.192342</t>
  </si>
  <si>
    <t>msloket@seznam.cz</t>
  </si>
  <si>
    <t>https://msloket.cz/</t>
  </si>
  <si>
    <t>Mateřská škola Nové Sedlo, Sklářská 510</t>
  </si>
  <si>
    <t>Sklářská 510, 35734 Nové Sedlo</t>
  </si>
  <si>
    <t>12.742569</t>
  </si>
  <si>
    <t>50.210018</t>
  </si>
  <si>
    <t>ms.sklarska@quick.cz</t>
  </si>
  <si>
    <t>https://www.msnovesedlo.cz/</t>
  </si>
  <si>
    <t>Základní škola Chodov, Školní 697, okres Sokolov, příspěvková organizace</t>
  </si>
  <si>
    <t>Školní 697, 35735 Chodov</t>
  </si>
  <si>
    <t>Chodov</t>
  </si>
  <si>
    <t>12.742939</t>
  </si>
  <si>
    <t>50.241344</t>
  </si>
  <si>
    <t>reditel@zs2chodov.cz</t>
  </si>
  <si>
    <t>https://zs2chodov.cz/</t>
  </si>
  <si>
    <t>3. základní škola Chodov, okres Sokolov, příspěvková organizace</t>
  </si>
  <si>
    <t>Husova 788, 35735 Chodov</t>
  </si>
  <si>
    <t>12.743211</t>
  </si>
  <si>
    <t>50.244745</t>
  </si>
  <si>
    <t>info@zs3chodov.cz</t>
  </si>
  <si>
    <t>https://zs3chodov.cz/</t>
  </si>
  <si>
    <t>Mateřská škola Nejdek, Lipová, příspěvková organizace</t>
  </si>
  <si>
    <t>Lipová 1192, 36222 Nejdek</t>
  </si>
  <si>
    <t>12.743419</t>
  </si>
  <si>
    <t>50.318117</t>
  </si>
  <si>
    <t>ms.lipova.nejdek@volny.cz</t>
  </si>
  <si>
    <t>https://www.ms-lipova-nejdek.cz/</t>
  </si>
  <si>
    <t>Mateřská škola Chodov, okres Sokolov, příspěvková organizace</t>
  </si>
  <si>
    <t>Nerudova 915, 35735 Chodov</t>
  </si>
  <si>
    <t>12.744442</t>
  </si>
  <si>
    <t>50.236807</t>
  </si>
  <si>
    <t>materskaskola@mschodov.cz</t>
  </si>
  <si>
    <t>https://mschodov.cz/</t>
  </si>
  <si>
    <t>Dům dětí a mládeže Bludiště, Chodov, okres Sokolov, příspěvková organizace</t>
  </si>
  <si>
    <t>Husova 263, 35735 Chodov</t>
  </si>
  <si>
    <t>12.744696</t>
  </si>
  <si>
    <t>50.241939</t>
  </si>
  <si>
    <t>ddm-chodov@mybox.cz</t>
  </si>
  <si>
    <t>https://ddmchodov.cz/</t>
  </si>
  <si>
    <t>Základní škola Nejdek, Karlovarská, příspěvková organizace</t>
  </si>
  <si>
    <t>Karlovarská 1189, 36222 Nejdek</t>
  </si>
  <si>
    <t>12.745632</t>
  </si>
  <si>
    <t>50.319335</t>
  </si>
  <si>
    <t>2.ZS.Nejdek@seznam.cz</t>
  </si>
  <si>
    <t>https://www.zskarlovarska.cz/</t>
  </si>
  <si>
    <t>Základní škola J. A. Komenského Chodov, Smetanova 738, okres Sokolov, příspěvková organizace</t>
  </si>
  <si>
    <t>Smetanova 738, 35735 Chodov</t>
  </si>
  <si>
    <t>12.745705</t>
  </si>
  <si>
    <t>50.241546</t>
  </si>
  <si>
    <t>iva.sipova@seznam.cz</t>
  </si>
  <si>
    <t>https://www.zschodov.cz/</t>
  </si>
  <si>
    <t>Základní umělecká škola Chodov, okres Sokolov, příspěvková organizace</t>
  </si>
  <si>
    <t>Dukelských hrdinů 338, 35735 Chodov</t>
  </si>
  <si>
    <t>12.747213</t>
  </si>
  <si>
    <t>50.239251</t>
  </si>
  <si>
    <t>info@zus-chodov.cz</t>
  </si>
  <si>
    <t>https://www.zus-chodov.cz/</t>
  </si>
  <si>
    <t>Lyceum Avantech - střední odborná škola, příspěvková organizace</t>
  </si>
  <si>
    <t>Komenského 273, 35735 Chodov</t>
  </si>
  <si>
    <t>12.749481</t>
  </si>
  <si>
    <t>50.239075</t>
  </si>
  <si>
    <t>info@avantechchodov.cz</t>
  </si>
  <si>
    <t>https://avantechchodov.cz/</t>
  </si>
  <si>
    <t>Základní škola Loket, okres Sokolov</t>
  </si>
  <si>
    <t>T. G. Masaryka 128/2, 35733 Loket</t>
  </si>
  <si>
    <t>12.755681</t>
  </si>
  <si>
    <t>50.187507</t>
  </si>
  <si>
    <t>info@zsloket.cz</t>
  </si>
  <si>
    <t>https://www.zsloket.cz/</t>
  </si>
  <si>
    <t>Základní škola a mateřská škola Božičany, okres Karlovy Vary, příspěvková organizace</t>
  </si>
  <si>
    <t>Božičany 76, 36226 Božičany</t>
  </si>
  <si>
    <t>Božičany</t>
  </si>
  <si>
    <t>12.769435</t>
  </si>
  <si>
    <t>50.258257</t>
  </si>
  <si>
    <t>zsamsbozicany@seznam.cz</t>
  </si>
  <si>
    <t>https://zsamsbozicany.cz/cs</t>
  </si>
  <si>
    <t>Základní škola a mateřská škola Horní Blatná, okres Karlovy Vary</t>
  </si>
  <si>
    <t>Komenského 261, 36237 Horní Blatná</t>
  </si>
  <si>
    <t>Horní Blatná</t>
  </si>
  <si>
    <t>12.773878</t>
  </si>
  <si>
    <t>50.390433</t>
  </si>
  <si>
    <t>reditelka@zsamshb.cz</t>
  </si>
  <si>
    <t>https://zsamshb.cz/</t>
  </si>
  <si>
    <t>Základní škola Nová Role, příspěvková organizace</t>
  </si>
  <si>
    <t>Školní 232/2, 36225 Nová Role</t>
  </si>
  <si>
    <t>Nová Role</t>
  </si>
  <si>
    <t>12.783596</t>
  </si>
  <si>
    <t>50.270924</t>
  </si>
  <si>
    <t>sekretariat@zsnovarole.cz</t>
  </si>
  <si>
    <t>https://www.zsnovarole.cz/</t>
  </si>
  <si>
    <t>Dům dětí a mládeže Nová Role, příspěvková organizace</t>
  </si>
  <si>
    <t>Chodovská 236/6, 36225 Nová Role</t>
  </si>
  <si>
    <t>12.784168</t>
  </si>
  <si>
    <t>50.270456</t>
  </si>
  <si>
    <t>ddm@novarole.cz</t>
  </si>
  <si>
    <t>https://www.ddmnovarole.cz/</t>
  </si>
  <si>
    <t>Základní umělecká škola Nová Role, příspěvková organizace</t>
  </si>
  <si>
    <t>novarolezus@gmail.com</t>
  </si>
  <si>
    <t>https://www.zusnovarole.cz/</t>
  </si>
  <si>
    <t>Základní škola a mateřská škola Pernink, příspěvková organizace</t>
  </si>
  <si>
    <t>Karlovarská 118, 36236 Pernink</t>
  </si>
  <si>
    <t>Pernink</t>
  </si>
  <si>
    <t>12.784424</t>
  </si>
  <si>
    <t>50.364921</t>
  </si>
  <si>
    <t>skolaper@seznam.cz</t>
  </si>
  <si>
    <t>https://www.zsamspernink.cz/</t>
  </si>
  <si>
    <t>Mateřská škola Cestička Nová Role, příspěvková organizace</t>
  </si>
  <si>
    <t>Rolavská 234/16, 36225 Nová Role</t>
  </si>
  <si>
    <t>12.784471</t>
  </si>
  <si>
    <t>50.273037</t>
  </si>
  <si>
    <t>ms@novarole.cz</t>
  </si>
  <si>
    <t>https://msnovarole.cz/</t>
  </si>
  <si>
    <t>Mateřská škola Krásno, okres Sokolov, příspěvková organizace</t>
  </si>
  <si>
    <t>Kladenská 210, 35747 Krásno</t>
  </si>
  <si>
    <t>Krásno</t>
  </si>
  <si>
    <t>12.790398</t>
  </si>
  <si>
    <t>50.111095</t>
  </si>
  <si>
    <t>mskrasno@seznam.cz</t>
  </si>
  <si>
    <t>https://www.mskrasno.cz/</t>
  </si>
  <si>
    <t>Základní škola Horní Slavkov, Školní 786, příspěvková organizace</t>
  </si>
  <si>
    <t>Školní 786, 35731 Horní Slavkov</t>
  </si>
  <si>
    <t>Horní Slavkov</t>
  </si>
  <si>
    <t>12.793452</t>
  </si>
  <si>
    <t>50.136599</t>
  </si>
  <si>
    <t>zs2hslavkov@volny.cz</t>
  </si>
  <si>
    <t>https://www.hornislavkov.cz/mesto/mestske-organizace/skoly-a-skolska-zarizeni-/</t>
  </si>
  <si>
    <t>Mateřská škola Horní Slavkov, Sportovní 713, příspěvková organizace</t>
  </si>
  <si>
    <t>Sportovní 713, 35731 Horní Slavkov</t>
  </si>
  <si>
    <t>12.795289</t>
  </si>
  <si>
    <t>50.139244</t>
  </si>
  <si>
    <t>skolka7@seznam.cz</t>
  </si>
  <si>
    <t>https://mssportovni.estranky.cz/</t>
  </si>
  <si>
    <t>Dům dětí a mládeže a školní družina Horní Slavkov, příspěvková organizace</t>
  </si>
  <si>
    <t>Poštovní 662/4, 35731 Horní Slavkov</t>
  </si>
  <si>
    <t>12.799264</t>
  </si>
  <si>
    <t>50.137439</t>
  </si>
  <si>
    <t>ddmhslavkov@volny.cz</t>
  </si>
  <si>
    <t>http://www.ddmhornislavkov.cz/</t>
  </si>
  <si>
    <t>Mateřská škola Horní Slavkov, Dlouhá 620/1, příspěvková organizace</t>
  </si>
  <si>
    <t>Dlouhá 620/1, 35731 Horní Slavkov</t>
  </si>
  <si>
    <t>12.803228</t>
  </si>
  <si>
    <t>50.138554</t>
  </si>
  <si>
    <t>skolkadlouha@hornislavkov.cz</t>
  </si>
  <si>
    <t>https://www.ms-uslunicka.cz/cs</t>
  </si>
  <si>
    <t>Základní škola Horní Slavkov, Nádražní 683, příspěvková organizace</t>
  </si>
  <si>
    <t>Nádražní 683, 35731 Horní Slavkov</t>
  </si>
  <si>
    <t>12.80697</t>
  </si>
  <si>
    <t>50.139858</t>
  </si>
  <si>
    <t>sekretariat@zs1hornislavkov.cz</t>
  </si>
  <si>
    <t>https://www.zsnadraznihornislavkov.cz/</t>
  </si>
  <si>
    <t>Základní umělecká škola Horní Slavkov, příspěvková organizace</t>
  </si>
  <si>
    <t>Školní náměstí 214, 35731 Horní Slavkov</t>
  </si>
  <si>
    <t>12.808725</t>
  </si>
  <si>
    <t>50.139742</t>
  </si>
  <si>
    <t>jzapf@zushslavkov.cz</t>
  </si>
  <si>
    <t>https://www.zushslavkov.cz/</t>
  </si>
  <si>
    <t>Základní škola a mateřská škola Abertamy, okres Karlovy Vary</t>
  </si>
  <si>
    <t>Blatenská 425, 36235 Abertamy</t>
  </si>
  <si>
    <t>Abertamy</t>
  </si>
  <si>
    <t>12.81531</t>
  </si>
  <si>
    <t>50.36846</t>
  </si>
  <si>
    <t>reditel.zsabertamy@seznam.cz</t>
  </si>
  <si>
    <t>https://www.zsabertamy.cz/</t>
  </si>
  <si>
    <t>Mateřská škola Šikulka Nová Role, příspěvková organizace</t>
  </si>
  <si>
    <t>Mezirolí 67, 36225 Nová Role</t>
  </si>
  <si>
    <t>12.816054</t>
  </si>
  <si>
    <t>50.271879</t>
  </si>
  <si>
    <t>msmeziroli@volny.cz</t>
  </si>
  <si>
    <t>https://msmeziroli.estranky.cz/</t>
  </si>
  <si>
    <t>1. Mateřská škola Karlovy Vary, Komenského 7, příspěvková organizace</t>
  </si>
  <si>
    <t>Komenského 48/7, 36007 Karlovy Vary</t>
  </si>
  <si>
    <t>Karlovy Vary</t>
  </si>
  <si>
    <t>12.827452</t>
  </si>
  <si>
    <t>50.211556</t>
  </si>
  <si>
    <t>reditelka@materinkykv.cz</t>
  </si>
  <si>
    <t>https://www.materinkykv.cz/</t>
  </si>
  <si>
    <t>Základní škola Karlovy Vary, Truhlářská 19, příspěvková organizace</t>
  </si>
  <si>
    <t>Truhlářská 19, 36017 Karlovy Vary</t>
  </si>
  <si>
    <t>12.83529</t>
  </si>
  <si>
    <t>50.241438</t>
  </si>
  <si>
    <t>zstruhlarska@seznam.cz</t>
  </si>
  <si>
    <t>https://www.zstruhlarska.cz/</t>
  </si>
  <si>
    <t>Základní škola Karlovy Vary, 1. máje 1, příspěvková organizace</t>
  </si>
  <si>
    <t>1. máje 58/1, 36006 Karlovy Vary</t>
  </si>
  <si>
    <t>12.836303</t>
  </si>
  <si>
    <t>50.226847</t>
  </si>
  <si>
    <t>posta@skoladvory.cz</t>
  </si>
  <si>
    <t>https://skoladvory.wixsite.com/uvod/</t>
  </si>
  <si>
    <t>Základní škola a mateřská škola Bečov nad Teplou, okres Karlovy Vary, příspěvková organizace</t>
  </si>
  <si>
    <t>Školní 152, 36464 Bečov nad Teplou</t>
  </si>
  <si>
    <t>Bečov nad Teplou</t>
  </si>
  <si>
    <t>12.838369</t>
  </si>
  <si>
    <t>50.082782</t>
  </si>
  <si>
    <t>reditelka@zsamsbecov.cz</t>
  </si>
  <si>
    <t>https://www.zsamsbecov.cz/</t>
  </si>
  <si>
    <t>Dům dětí a mládeže Karlovy Vary, Čankovská 9, příspěvková organizace</t>
  </si>
  <si>
    <t>Čankovská 35/9, 36005 Karlovy Vary</t>
  </si>
  <si>
    <t>12.848826</t>
  </si>
  <si>
    <t>50.236092</t>
  </si>
  <si>
    <t>reditel@ddmkv.cz</t>
  </si>
  <si>
    <t>https://www.ddmkv.cz/</t>
  </si>
  <si>
    <t>Základní škola Karlovy Vary, Konečná 25, příspěvková organizace</t>
  </si>
  <si>
    <t>Konečná 917/25, 36005 Karlovy Vary</t>
  </si>
  <si>
    <t>12.852254</t>
  </si>
  <si>
    <t>50.239004</t>
  </si>
  <si>
    <t>zskonecna@zskonecnakv.cz</t>
  </si>
  <si>
    <t>https://zskonecnakv.cz/cs</t>
  </si>
  <si>
    <t>Základní škola Karlovy Vary, Poštovní 19, příspěvková organizace</t>
  </si>
  <si>
    <t>Poštovní 1743/19, 36001 Karlovy Vary</t>
  </si>
  <si>
    <t>12.852338</t>
  </si>
  <si>
    <t>50.225636</t>
  </si>
  <si>
    <t>sekretariat@zskvary.cz</t>
  </si>
  <si>
    <t>https://www.zskvary.cz/</t>
  </si>
  <si>
    <t>Základní škola a Základní umělecká škola Karlovy Vary, Šmeralova 336/15, příspěvková organizace</t>
  </si>
  <si>
    <t>Šmeralova 336/15, 36005 Karlovy Vary</t>
  </si>
  <si>
    <t>12.859583</t>
  </si>
  <si>
    <t>50.23272</t>
  </si>
  <si>
    <t>skola@zsazus.cz</t>
  </si>
  <si>
    <t>https://www.zsazus.cz/</t>
  </si>
  <si>
    <t>Základní škola Merklín, okres Karlovy Vary</t>
  </si>
  <si>
    <t>Merklín 31, 36234 Merklín</t>
  </si>
  <si>
    <t>Merklín</t>
  </si>
  <si>
    <t>12.861942</t>
  </si>
  <si>
    <t>50.327178</t>
  </si>
  <si>
    <t>zs.merklin@volny.cz</t>
  </si>
  <si>
    <t>https://www.skolamerklin.cz/</t>
  </si>
  <si>
    <t>Mateřská škola Merklín, okres Karlovy Vary</t>
  </si>
  <si>
    <t>Merklín 86, 36234 Merklín</t>
  </si>
  <si>
    <t>12.862028</t>
  </si>
  <si>
    <t>50.328948</t>
  </si>
  <si>
    <t>materskaskolamerklin.svajkova@seznam.cz</t>
  </si>
  <si>
    <t>https://www.msmerklin-kv.cz/</t>
  </si>
  <si>
    <t>Základní umělecká škola Antonína Dvořáka, Karlovy Vary, Šmeralova 32, příspěvková organizace</t>
  </si>
  <si>
    <t>Šmeralova 489/32, 36005 Karlovy Vary</t>
  </si>
  <si>
    <t>12.862533</t>
  </si>
  <si>
    <t>50.232556</t>
  </si>
  <si>
    <t>info@zusad.cz</t>
  </si>
  <si>
    <t>https://www.zusad.cz/</t>
  </si>
  <si>
    <t>Základní škola Dukelských hrdinů Karlovy Vary, Moskevská 25, příspěvková organizace</t>
  </si>
  <si>
    <t>Moskevská 1117/25, 36001 Karlovy Vary</t>
  </si>
  <si>
    <t>12.864767</t>
  </si>
  <si>
    <t>50.228134</t>
  </si>
  <si>
    <t>info@zsdukla.cz</t>
  </si>
  <si>
    <t>https://zsdukla.cz/cs</t>
  </si>
  <si>
    <t>Základní škola Karlovy Vary, Krušnohorská 11, příspěvková organizace</t>
  </si>
  <si>
    <t>Krušnohorská 735/11, 36010 Karlovy Vary</t>
  </si>
  <si>
    <t>12.86568</t>
  </si>
  <si>
    <t>50.23853</t>
  </si>
  <si>
    <t>sekretariat@zsruzovyvrch.eu</t>
  </si>
  <si>
    <t>https://zsruzovyvrch.edupage.org/</t>
  </si>
  <si>
    <t>2. Mateřská škola Karlovy Vary, Krušnohorská 16, příspěvková organizace</t>
  </si>
  <si>
    <t>Krušnohorská 740/16, 36010 Karlovy Vary</t>
  </si>
  <si>
    <t>12.866565</t>
  </si>
  <si>
    <t>50.238111</t>
  </si>
  <si>
    <t>sekretariat@2mskv.cz</t>
  </si>
  <si>
    <t>https://www.2mskv.cz/</t>
  </si>
  <si>
    <t>Základní škola v Teplé, příspěvková organizace</t>
  </si>
  <si>
    <t>Školní 258, 36461 Teplá</t>
  </si>
  <si>
    <t>Teplá</t>
  </si>
  <si>
    <t>12.86668</t>
  </si>
  <si>
    <t>49.980489</t>
  </si>
  <si>
    <t>zs.tepla@seznam.cz</t>
  </si>
  <si>
    <t>https://www.zstepla.cz/</t>
  </si>
  <si>
    <t>Mateřská škola Březová, okres Karlovy Vary, příspěvková organizace</t>
  </si>
  <si>
    <t>Staromlýnská 34/29, 36215 Březová</t>
  </si>
  <si>
    <t>Březová u Karlových Varů</t>
  </si>
  <si>
    <t>12.867383</t>
  </si>
  <si>
    <t>50.19475</t>
  </si>
  <si>
    <t>msbrezovaukv@seznam.cz</t>
  </si>
  <si>
    <t>https://www.msbrezova-ukv.cz/</t>
  </si>
  <si>
    <t>Základní umělecká škola Teplá, příspěvková organizace</t>
  </si>
  <si>
    <t>Školní 393, 36461 Teplá</t>
  </si>
  <si>
    <t>12.868977</t>
  </si>
  <si>
    <t>49.98033</t>
  </si>
  <si>
    <t>zus.tepla@tepla.cz</t>
  </si>
  <si>
    <t>https://zustepla.netstranky.cz/</t>
  </si>
  <si>
    <t>Mateřská škola Teplá, příspěvková organizace</t>
  </si>
  <si>
    <t>Školní 544, 36461 Teplá</t>
  </si>
  <si>
    <t>12.869642</t>
  </si>
  <si>
    <t>49.981432</t>
  </si>
  <si>
    <t>ms.tepla@seznam.cz</t>
  </si>
  <si>
    <t>https://www.mstepla.cz/</t>
  </si>
  <si>
    <t>Základní škola Hroznětín, okres Karlovy Vary</t>
  </si>
  <si>
    <t>Sídliště 310, 36233 Hroznětín</t>
  </si>
  <si>
    <t>Hroznětín</t>
  </si>
  <si>
    <t>12.871077</t>
  </si>
  <si>
    <t>50.312164</t>
  </si>
  <si>
    <t>sekretariat@zshroznetin.net</t>
  </si>
  <si>
    <t>https://www.zshroznetin.net/</t>
  </si>
  <si>
    <t>Mateřská škola Hroznětín, okres Karlovy Vary</t>
  </si>
  <si>
    <t>Mlýnská 231, 36233 Hroznětín</t>
  </si>
  <si>
    <t>12.875801</t>
  </si>
  <si>
    <t>50.309567</t>
  </si>
  <si>
    <t>reditelka@mshroznetin.cz</t>
  </si>
  <si>
    <t>https://mshroznetin.cz/</t>
  </si>
  <si>
    <t>Základní škola pro žáky se specifickými poruchami učení Karlovy Vary, příspěvková organizace</t>
  </si>
  <si>
    <t>Mozartova 346/7, 36020 Karlovy Vary</t>
  </si>
  <si>
    <t>12.88334</t>
  </si>
  <si>
    <t>50.233857</t>
  </si>
  <si>
    <t>steinova@zsdys.cz</t>
  </si>
  <si>
    <t>https://www.zsdys.cz/cs/</t>
  </si>
  <si>
    <t>Základní škola Jana Amose Komenského, Karlovy Vary, Kollárova 19, příspěvková organizace</t>
  </si>
  <si>
    <t>Kollárova 553/19, 36009 Karlovy Vary</t>
  </si>
  <si>
    <t>12.886425</t>
  </si>
  <si>
    <t>50.236941</t>
  </si>
  <si>
    <t>sekretariat@zskomenskeho-kv.cz</t>
  </si>
  <si>
    <t>https://www.zskomenskeho-kv.cz/</t>
  </si>
  <si>
    <t>Základní škola jazyků Karlovy Vary, příspěvková organizace</t>
  </si>
  <si>
    <t>Libušina 1032/31, 36001 Karlovy Vary</t>
  </si>
  <si>
    <t>12.88793</t>
  </si>
  <si>
    <t>50.221492</t>
  </si>
  <si>
    <t>info@jazkvary.cz</t>
  </si>
  <si>
    <t>https://jazkvary.edupage.org/</t>
  </si>
  <si>
    <t>Základní škola a mateřská škola Dalovice, okr. K. Vary, příspěvková organizace</t>
  </si>
  <si>
    <t>U Potoka 120, 36263 Dalovice</t>
  </si>
  <si>
    <t>Dalovice</t>
  </si>
  <si>
    <t>12.896708</t>
  </si>
  <si>
    <t>50.249885</t>
  </si>
  <si>
    <t>monika.brabcova@zsmsdalovice.cz</t>
  </si>
  <si>
    <t>https://zsmsdalovice.cz/cs</t>
  </si>
  <si>
    <t>Základní škola Kolová, okres Karlovy Vary, příspěvková organizace</t>
  </si>
  <si>
    <t>Kolová 97, 36214 Kolová</t>
  </si>
  <si>
    <t>Kolová</t>
  </si>
  <si>
    <t>12.902108</t>
  </si>
  <si>
    <t>50.187225</t>
  </si>
  <si>
    <t>zskolova@zskolova.cz</t>
  </si>
  <si>
    <t>http://www.zskolova.cz/</t>
  </si>
  <si>
    <t>Mateřská škola Krásné Údolí, okres Karlovy Vary, příspěvková organizace</t>
  </si>
  <si>
    <t>Krásné Údolí 77, 36401 Krásné Údolí</t>
  </si>
  <si>
    <t>Krásné Údolí</t>
  </si>
  <si>
    <t>12.920343</t>
  </si>
  <si>
    <t>50.071528</t>
  </si>
  <si>
    <t>ms@krasneudoli.cz</t>
  </si>
  <si>
    <t>https://www.krasneudoli.cz/mesto/materska-skola</t>
  </si>
  <si>
    <t>Základní škola Marie Curie-Sklodowské a mateřská škola Jáchymov, příspěvková organizace</t>
  </si>
  <si>
    <t>Husova 992, 36251 Jáchymov</t>
  </si>
  <si>
    <t>Jáchymov</t>
  </si>
  <si>
    <t>12.930834</t>
  </si>
  <si>
    <t>50.363446</t>
  </si>
  <si>
    <t>skola@zsjachymov.eu</t>
  </si>
  <si>
    <t>https://www.zsjachymov.eu/</t>
  </si>
  <si>
    <t>Městský dům dětí a mládeže Ostrov, příspěvková organizace</t>
  </si>
  <si>
    <t>Školní 231, 36301 Ostrov</t>
  </si>
  <si>
    <t>12.937627</t>
  </si>
  <si>
    <t>50.305269</t>
  </si>
  <si>
    <t>mddm@mddmostrov.cz</t>
  </si>
  <si>
    <t>https://www.mddmostrov.cz/</t>
  </si>
  <si>
    <t>Základní škola Ostrov, Masarykova 1289, příspěvková organizace</t>
  </si>
  <si>
    <t>Masarykova 1289, 36301 Ostrov</t>
  </si>
  <si>
    <t>12.945047</t>
  </si>
  <si>
    <t>50.305955</t>
  </si>
  <si>
    <t>1zsostrov@1zsostrov.cz</t>
  </si>
  <si>
    <t>https://www.1zsostrov.cz/</t>
  </si>
  <si>
    <t>Základní umělecká škola Ostrov, příspěvková organizace</t>
  </si>
  <si>
    <t>Masarykova 717, 36301 Ostrov</t>
  </si>
  <si>
    <t>12.946662</t>
  </si>
  <si>
    <t>50.311052</t>
  </si>
  <si>
    <t>reditelka@zusostrov.cz</t>
  </si>
  <si>
    <t>https://zusostrov.cz/</t>
  </si>
  <si>
    <t>Mateřská škola Ostrov, Halasova 765, příspěvková organizace</t>
  </si>
  <si>
    <t>Halasova 765, 36301 Ostrov</t>
  </si>
  <si>
    <t>12.948187</t>
  </si>
  <si>
    <t>50.304343</t>
  </si>
  <si>
    <t>mshalasova@seznam.cz</t>
  </si>
  <si>
    <t>https://www.mshalasova.cz/</t>
  </si>
  <si>
    <t>Mateřská škola Ostrov, Masarykova 1195, příspěvková organizace</t>
  </si>
  <si>
    <t>Masarykova 1195, 36301 Ostrov</t>
  </si>
  <si>
    <t>12.948927</t>
  </si>
  <si>
    <t>50.312992</t>
  </si>
  <si>
    <t>masarykovams@seznam.cz</t>
  </si>
  <si>
    <t>https://www.masarykovams.cz/</t>
  </si>
  <si>
    <t>Mateřská škola Ostrov, Palackého 1045, příspěvková organizace</t>
  </si>
  <si>
    <t>Palackého 1045, 36301 Ostrov</t>
  </si>
  <si>
    <t>12.949456</t>
  </si>
  <si>
    <t>50.310615</t>
  </si>
  <si>
    <t>reditelka@mspalackeho.cz</t>
  </si>
  <si>
    <t>https://www.mspalackeho.cz/</t>
  </si>
  <si>
    <t>Základní škola Ostrov, Májová 997, příspěvková organizace</t>
  </si>
  <si>
    <t>Májová 997, 36301 Ostrov</t>
  </si>
  <si>
    <t>12.951065</t>
  </si>
  <si>
    <t>50.311988</t>
  </si>
  <si>
    <t>sekretariat@3zsostrov.cz</t>
  </si>
  <si>
    <t>http://www.3zsostrov.cz/</t>
  </si>
  <si>
    <t>Mateřská škola Ostrov, Krušnohorská 766, příspěvková organizace</t>
  </si>
  <si>
    <t>Krušnohorská 766, 36301 Ostrov</t>
  </si>
  <si>
    <t>12.952184</t>
  </si>
  <si>
    <t>50.303463</t>
  </si>
  <si>
    <t>ms.krusnohorska.ostrov@seznam.cz</t>
  </si>
  <si>
    <t>https://www.mskrusnohorska.cz/</t>
  </si>
  <si>
    <t>Základní škola a Mateřská škola Ostrov, Myslbekova 996, příspěvková organizace</t>
  </si>
  <si>
    <t>Myslbekova 996, 36301 Ostrov</t>
  </si>
  <si>
    <t>12.952755</t>
  </si>
  <si>
    <t>50.308418</t>
  </si>
  <si>
    <t>reditel@zsamsostrov.cz</t>
  </si>
  <si>
    <t>https://www.zsamsostrov.net/</t>
  </si>
  <si>
    <t>Základní škola a mateřská škola Útvina, okres Karlovy Vary, příspěvková organizace</t>
  </si>
  <si>
    <t>Útvina 153, 36401 Toužim</t>
  </si>
  <si>
    <t>Toužim</t>
  </si>
  <si>
    <t>12.958331</t>
  </si>
  <si>
    <t>50.069442</t>
  </si>
  <si>
    <t>reditel@zsutvina.cz</t>
  </si>
  <si>
    <t>https://www.zsutvina.cz/</t>
  </si>
  <si>
    <t>Mateřská škola Šemnice, okres Karlovy Vary</t>
  </si>
  <si>
    <t>Šemnice 29, 36272 Kyselka</t>
  </si>
  <si>
    <t>Kyselka</t>
  </si>
  <si>
    <t>12.972222</t>
  </si>
  <si>
    <t>50.239627</t>
  </si>
  <si>
    <t>skolkasemnice@volny.cz</t>
  </si>
  <si>
    <t>https://mssemnice.estranky.cz/</t>
  </si>
  <si>
    <t>Mateřská škola Sídliště 429, Toužim</t>
  </si>
  <si>
    <t>Sídliště 429, 36401 Toužim</t>
  </si>
  <si>
    <t>12.985374</t>
  </si>
  <si>
    <t>50.061689</t>
  </si>
  <si>
    <t>mstouzim@email.cz</t>
  </si>
  <si>
    <t>https://www.slunickotouzim.cz/</t>
  </si>
  <si>
    <t>Základní škola a mateřská škola Toužim, příspěvková organizace</t>
  </si>
  <si>
    <t>Plzeňská 395, 36401 Toužim</t>
  </si>
  <si>
    <t>12.990814</t>
  </si>
  <si>
    <t>50.057611</t>
  </si>
  <si>
    <t>skola@zsamstouzim.cz</t>
  </si>
  <si>
    <t>http://www.zsamstouzim.cz</t>
  </si>
  <si>
    <t>12.9906639</t>
  </si>
  <si>
    <t>50.0583050</t>
  </si>
  <si>
    <t>reditel@zustouzim.cz</t>
  </si>
  <si>
    <t>https://www.zustouzim.cz/</t>
  </si>
  <si>
    <t>Základní škola Toužim, příspěvková organizace</t>
  </si>
  <si>
    <t>12.9903981</t>
  </si>
  <si>
    <t>50.0579233</t>
  </si>
  <si>
    <t>zstouzim@zstouzim.cz</t>
  </si>
  <si>
    <t>https://zstouzim.cz/</t>
  </si>
  <si>
    <t>Základní škola a mateřská škola Kyselka, okres Karlovy Vary, příspěvková organizace</t>
  </si>
  <si>
    <t>Radošov 75, 36272 Kyselka</t>
  </si>
  <si>
    <t>12.994401</t>
  </si>
  <si>
    <t>50.264583</t>
  </si>
  <si>
    <t>info@zskyselka.cz</t>
  </si>
  <si>
    <t>https://zskyselka.edupage.org/</t>
  </si>
  <si>
    <t>Mateřská škola Stružná, okres Karlovy Vary</t>
  </si>
  <si>
    <t>Stružná 58, 36472 Stružná</t>
  </si>
  <si>
    <t>Stružná</t>
  </si>
  <si>
    <t>13.006633</t>
  </si>
  <si>
    <t>50.18869</t>
  </si>
  <si>
    <t>msstruzna@seznam.cz</t>
  </si>
  <si>
    <t>https://www.msstruzna.cz/</t>
  </si>
  <si>
    <t>Mateřská škola Velichov, okres Karlovy Vary</t>
  </si>
  <si>
    <t>Velichov 132, 36301 Ostrov</t>
  </si>
  <si>
    <t>13.007113</t>
  </si>
  <si>
    <t>50.280303</t>
  </si>
  <si>
    <t>simona.kocova@email.cz</t>
  </si>
  <si>
    <t>https://www.velichov.cz/materska-skola</t>
  </si>
  <si>
    <t>Mateřská škola Jakubov, okres Karlovy Vary</t>
  </si>
  <si>
    <t>Jakubov 93, 36301 Vojkovice</t>
  </si>
  <si>
    <t>Vojkovice</t>
  </si>
  <si>
    <t>13.030585</t>
  </si>
  <si>
    <t>50.30908</t>
  </si>
  <si>
    <t>ms@msjakubov.cz</t>
  </si>
  <si>
    <t>https://www.msjakubov.cz/</t>
  </si>
  <si>
    <t>Základní škola Bochov, okres Karlovy Vary</t>
  </si>
  <si>
    <t>Okružní 367, 36471 Bochov</t>
  </si>
  <si>
    <t>Bochov</t>
  </si>
  <si>
    <t>13.043311</t>
  </si>
  <si>
    <t>50.148989</t>
  </si>
  <si>
    <t>info@zsbochov.cz</t>
  </si>
  <si>
    <t>https://www.zsbochov.cz/</t>
  </si>
  <si>
    <t>Mateřská škola Bochov, okres Karlovy Vary</t>
  </si>
  <si>
    <t>Zahradní 315, 36471 Bochov</t>
  </si>
  <si>
    <t>13.049537</t>
  </si>
  <si>
    <t>50.14936</t>
  </si>
  <si>
    <t>ms.bochov@seznam.cz</t>
  </si>
  <si>
    <t>https://www.msbochov.cz/</t>
  </si>
  <si>
    <t>Mateřská škola Stráž nad Ohří, okres Karlovy Vary</t>
  </si>
  <si>
    <t>Stráž nad Ohří 101, 36274 Stráž nad Ohří</t>
  </si>
  <si>
    <t>Stráž nad Ohří</t>
  </si>
  <si>
    <t>13.050276</t>
  </si>
  <si>
    <t>50.338428</t>
  </si>
  <si>
    <t>skolkastraz@seznam.cz</t>
  </si>
  <si>
    <t>https://www.ms-straz.cz/</t>
  </si>
  <si>
    <t>Základní škola a Mateřská škola Štědrá, okres Karlovy Vary příspěvková organizace</t>
  </si>
  <si>
    <t>Štědrá 49, 36451 Štědrá</t>
  </si>
  <si>
    <t>Štědrá</t>
  </si>
  <si>
    <t>13.112701</t>
  </si>
  <si>
    <t>50.058187</t>
  </si>
  <si>
    <t>zsstedra@seznam.cz</t>
  </si>
  <si>
    <t>https://zsamsstedra.cz/cs</t>
  </si>
  <si>
    <t>Základní škola a základní umělecká škola Žlutice, příspěvková organizace</t>
  </si>
  <si>
    <t>Poděbradova 307, 36452 Žlutice</t>
  </si>
  <si>
    <t>Žlutice</t>
  </si>
  <si>
    <t>13.158952</t>
  </si>
  <si>
    <t>50.087661</t>
  </si>
  <si>
    <t>podatelna@zszlutice.cz</t>
  </si>
  <si>
    <t>https://zszlutice.edupage.org/</t>
  </si>
  <si>
    <t>Mateřská škola Žlutice</t>
  </si>
  <si>
    <t>Poděbradova 396, 36452 Žlutice</t>
  </si>
  <si>
    <t>13.160103</t>
  </si>
  <si>
    <t>50.088693</t>
  </si>
  <si>
    <t>​​reditel@mszlutice.cz</t>
  </si>
  <si>
    <t>https://www.mszlutice.cz/</t>
  </si>
  <si>
    <t>Základní škola a mateřská škola Chyše, okres Karlovy Vary</t>
  </si>
  <si>
    <t>Na Špičáku 292, 36453 Chyše</t>
  </si>
  <si>
    <t>Chyše</t>
  </si>
  <si>
    <t>13.252313</t>
  </si>
  <si>
    <t>50.105917</t>
  </si>
  <si>
    <t>zs.chyse@volny.cz</t>
  </si>
  <si>
    <t>https://www.ms-zs-chyse.cz/</t>
  </si>
  <si>
    <t>Základní škola a mateřská škola Valeč, okres Karlovy Vary, příspěvková organizace</t>
  </si>
  <si>
    <t>Podbořanská 32, 36455 Valeč</t>
  </si>
  <si>
    <t>Valeč</t>
  </si>
  <si>
    <t>13.255241</t>
  </si>
  <si>
    <t>50.173947</t>
  </si>
  <si>
    <t>reditelka@mszsvalec.cz</t>
  </si>
  <si>
    <t>https://www.mszsvalec.cz/</t>
  </si>
  <si>
    <t>Základní škola a mateřská škola Svatava, příspěvková organizace</t>
  </si>
  <si>
    <t>Pohraniční stráže 81, 35703 Svatava</t>
  </si>
  <si>
    <t>Svatava</t>
  </si>
  <si>
    <t>12.6267053</t>
  </si>
  <si>
    <t>50.190632</t>
  </si>
  <si>
    <t>svatava@skolasvatava.cz</t>
  </si>
  <si>
    <t>https://www.skolasvatava.cz/</t>
  </si>
  <si>
    <t>Gymnázium Aš, příspěvková organizace</t>
  </si>
  <si>
    <t>Hlavní 2514/106, 35201 Aš</t>
  </si>
  <si>
    <t>12.194203</t>
  </si>
  <si>
    <t>50.216618</t>
  </si>
  <si>
    <t>kontakt@gymas.cz</t>
  </si>
  <si>
    <t>https://www.gymas.cz</t>
  </si>
  <si>
    <t>Dětský domov Cheb a Horní Slavkov, příspěvková organizace</t>
  </si>
  <si>
    <t>Goethova 1660/16, 35002 Cheb</t>
  </si>
  <si>
    <t>12.360301</t>
  </si>
  <si>
    <t>50.077741</t>
  </si>
  <si>
    <t>ddslavkov@volny.cz</t>
  </si>
  <si>
    <t>https://www.ddchs.cz</t>
  </si>
  <si>
    <t>Gymnázium Cheb, příspěvková organizace</t>
  </si>
  <si>
    <t>Nerudova 2283/7, 35002 Cheb</t>
  </si>
  <si>
    <t>12.362412</t>
  </si>
  <si>
    <t>50.076275</t>
  </si>
  <si>
    <t>gymcheb@gymcheb.cz</t>
  </si>
  <si>
    <t>https://www.gymcheb.cz</t>
  </si>
  <si>
    <t>Integrovaná střední škola Cheb, příspěvková organizace</t>
  </si>
  <si>
    <t>Obrněné brigády 2258/6, 35002 Cheb</t>
  </si>
  <si>
    <t>12.366284</t>
  </si>
  <si>
    <t>50.07735</t>
  </si>
  <si>
    <t>info@iss-cheb.cz</t>
  </si>
  <si>
    <t>https://www.iss-cheb.cz</t>
  </si>
  <si>
    <t>Střední zdravotnická škola a vyšší odborná škola Cheb, příspěvková organizace</t>
  </si>
  <si>
    <t>Hradební 58/10, 35002 Cheb</t>
  </si>
  <si>
    <t>12.366493</t>
  </si>
  <si>
    <t>50.078765</t>
  </si>
  <si>
    <t>info@szscheb.cz</t>
  </si>
  <si>
    <t>https://www.szsavoscheb.cz</t>
  </si>
  <si>
    <t>Školní statek a krajské středisko ekologické výchovy Cheb, příspěvková organizace</t>
  </si>
  <si>
    <t>U Farmy 30/11, 35002 Cheb</t>
  </si>
  <si>
    <t>12.417664</t>
  </si>
  <si>
    <t>50.082816</t>
  </si>
  <si>
    <t>horcicka@sscheb.cz</t>
  </si>
  <si>
    <t>https://www.skolnistatekcheb.cz</t>
  </si>
  <si>
    <t>Gymnázium Sokolov a Krajské vzdělávací centrum, příspěvková organizace</t>
  </si>
  <si>
    <t>Husitská 2053, 35601 Sokolov</t>
  </si>
  <si>
    <t>12.640226</t>
  </si>
  <si>
    <t>50.176253</t>
  </si>
  <si>
    <t>info@gymso.cz</t>
  </si>
  <si>
    <t>https://www.gymso.cz</t>
  </si>
  <si>
    <t>Střední škola živnostenská Sokolov, příspěvková organizace</t>
  </si>
  <si>
    <t>Žákovská 716, 35601 Sokolov</t>
  </si>
  <si>
    <t>12.641212</t>
  </si>
  <si>
    <t>50.186655</t>
  </si>
  <si>
    <t>skola@zivnostenska-sokolov.cz</t>
  </si>
  <si>
    <t>https://www.zivnostenska-sokolov.cz</t>
  </si>
  <si>
    <t>Integrovaná střední škola technická a ekonomická Sokolov, příspěvková organizace</t>
  </si>
  <si>
    <t>Jednoty 1620, 35601 Sokolov</t>
  </si>
  <si>
    <t>12.644488</t>
  </si>
  <si>
    <t>50.182788</t>
  </si>
  <si>
    <t>isste@isste.cz</t>
  </si>
  <si>
    <t>https://www.isste.cz</t>
  </si>
  <si>
    <t>Hotelová škola Mariánské Lázně, příspěvková organizace</t>
  </si>
  <si>
    <t>Komenského 449/2, 35301 Mariánské Lázně</t>
  </si>
  <si>
    <t>12.700109</t>
  </si>
  <si>
    <t>49.962248</t>
  </si>
  <si>
    <t>hotelova.skola@post.cz</t>
  </si>
  <si>
    <t>https://www.hotelovaskola.cz</t>
  </si>
  <si>
    <t>Gymnázium a obchodní akademie Mariánské Lázně, příspěvková organizace</t>
  </si>
  <si>
    <t>Ruská 355/7, 35301 Mariánské Lázně</t>
  </si>
  <si>
    <t>12.701646</t>
  </si>
  <si>
    <t>49.973218</t>
  </si>
  <si>
    <t>goaml@goaml.cz</t>
  </si>
  <si>
    <t>https://www.goaml.cz</t>
  </si>
  <si>
    <t>Domov mládeže a školní jídelna Mariánské Lázně, příspěvková organizace</t>
  </si>
  <si>
    <t>Klíčová 167/4, 35301 Mariánské Lázně</t>
  </si>
  <si>
    <t>12.70446</t>
  </si>
  <si>
    <t>49.972829</t>
  </si>
  <si>
    <t>dmml@centrum.cz</t>
  </si>
  <si>
    <t>https://www.dmasjml.cz/</t>
  </si>
  <si>
    <t>Dětský domov Mariánské Lázně a Aš, příspěvková organizace</t>
  </si>
  <si>
    <t>Palackého 191/101, 35301 Mariánské Lázně</t>
  </si>
  <si>
    <t>12.715285</t>
  </si>
  <si>
    <t>49.953031</t>
  </si>
  <si>
    <t>domov@ddmla.cz</t>
  </si>
  <si>
    <t>https://www.ddmla.cz</t>
  </si>
  <si>
    <t>Základní škola a střední škola Karlovy Vary, příspěvková organizace</t>
  </si>
  <si>
    <t>Vančurova 83/2, 36017 Karlovy Vary</t>
  </si>
  <si>
    <t>12.831028</t>
  </si>
  <si>
    <t>50.248111</t>
  </si>
  <si>
    <t>m.kheilova@specskoly.eu</t>
  </si>
  <si>
    <t>https://www.specskoly.cz</t>
  </si>
  <si>
    <t>Základní umělecká škola Josefa Labitzkého Bečov nad Teplou, příspěvková organizace</t>
  </si>
  <si>
    <t>Školní 338, 36464 Bečov nad Teplou</t>
  </si>
  <si>
    <t>12.837006</t>
  </si>
  <si>
    <t>50.082758</t>
  </si>
  <si>
    <t>pitra@zusjlbecov.cz</t>
  </si>
  <si>
    <t>https://www.zusjlbecov.cz</t>
  </si>
  <si>
    <t>Střední uměleckoprůmyslová škola keramická a sklářská Karlovy Vary, příspěvková organizace</t>
  </si>
  <si>
    <t>nám. 17. listopadu 710/12, 36005 Karlovy Vary</t>
  </si>
  <si>
    <t>12.85184</t>
  </si>
  <si>
    <t>50.234883</t>
  </si>
  <si>
    <t>sekretariat@supskv.cz</t>
  </si>
  <si>
    <t>https://supskv.cz/</t>
  </si>
  <si>
    <t>Obchodní akademie, vyšší odborná škola cestovního ruchu a jazyková škola s právem státní jazykové zkoušky Karlovy Vary, příspěvková organizace</t>
  </si>
  <si>
    <t>Bezručova 1312/17, 36001 Karlovy Vary</t>
  </si>
  <si>
    <t>12.874274</t>
  </si>
  <si>
    <t>50.231556</t>
  </si>
  <si>
    <t>info@oakv.cz</t>
  </si>
  <si>
    <t>https://www.oakv.cz</t>
  </si>
  <si>
    <t>Základní škola a mateřská škola při zdravotnických zařízeních Karlovy Vary, příspěvková organizace</t>
  </si>
  <si>
    <t>Bezručova 1190/19, 36001 Karlovy Vary</t>
  </si>
  <si>
    <t>12.875231</t>
  </si>
  <si>
    <t>50.232174</t>
  </si>
  <si>
    <t>zsnem.kvary@seznam.cz</t>
  </si>
  <si>
    <t>https://www.zsnemkv.cz</t>
  </si>
  <si>
    <t>Střední zdravotnická škola a vyšší odborná škola zdravotnická Karlovy Vary, příspěvková organizace</t>
  </si>
  <si>
    <t>Poděbradská 1247/2, 36001 Karlovy Vary</t>
  </si>
  <si>
    <t>12.87576</t>
  </si>
  <si>
    <t>50.226864</t>
  </si>
  <si>
    <t>sekretariat.skoly@zdravkakv.cz</t>
  </si>
  <si>
    <t>https://www.zdravkakv.cz</t>
  </si>
  <si>
    <t>Střední škola stravování a služeb Karlovy Vary, příspěvková organizace</t>
  </si>
  <si>
    <t>Ondřejská 1122/56, 36001 Karlovy Vary</t>
  </si>
  <si>
    <t>12.881997</t>
  </si>
  <si>
    <t>50.227672</t>
  </si>
  <si>
    <t>info@ssstravovani.cz</t>
  </si>
  <si>
    <t>https://www.ssstravovani.cz</t>
  </si>
  <si>
    <t>Střední odborná škola stavební Karlovy Vary, příspěvková organizace</t>
  </si>
  <si>
    <t>nám. K. Sabiny 159/16, 36001 Karlovy Vary</t>
  </si>
  <si>
    <t>12.885361</t>
  </si>
  <si>
    <t>50.236186</t>
  </si>
  <si>
    <t>podatelna@stavebniskolakv.cz</t>
  </si>
  <si>
    <t>https://www.stavebniskolakv.cz</t>
  </si>
  <si>
    <t>První české gymnázium v Karlových Varech, příspěvková organizace</t>
  </si>
  <si>
    <t>Národní 445/25, 36001 Karlovy Vary</t>
  </si>
  <si>
    <t>12.887607</t>
  </si>
  <si>
    <t>50.233994</t>
  </si>
  <si>
    <t>skola@gymkvary.eu</t>
  </si>
  <si>
    <t>https://www.gymkvary.cz</t>
  </si>
  <si>
    <t>Pedagogicko-psychologická poradna Karlovy Vary, příspěvková organizace</t>
  </si>
  <si>
    <t>Lidická 590/38, 36001 Karlovy Vary</t>
  </si>
  <si>
    <t>12.8884406</t>
  </si>
  <si>
    <t>50.2321944</t>
  </si>
  <si>
    <t>sekretariat@pppkv.cz</t>
  </si>
  <si>
    <t>https://www.pppkv.cz</t>
  </si>
  <si>
    <t>Domov mládeže a školní jídelna Karlovy Vary, příspěvková organizace</t>
  </si>
  <si>
    <t>12.887746</t>
  </si>
  <si>
    <t>50.232553</t>
  </si>
  <si>
    <t>info@dmkv.cz</t>
  </si>
  <si>
    <t>https://www.dmkv.cz</t>
  </si>
  <si>
    <t>Bazén Karlovy Vary, příspěvková organizace</t>
  </si>
  <si>
    <t>12.888505</t>
  </si>
  <si>
    <t>50.231683</t>
  </si>
  <si>
    <t>bazen@bdkv.cz</t>
  </si>
  <si>
    <t>https://www.bdkv.cz</t>
  </si>
  <si>
    <t>Střední pedagogická škola, gymnázium a vyšší odborná škola Karlovy Vary, příspěvková organizace</t>
  </si>
  <si>
    <t>Lidická 455/40 36001 Karlovy Vary</t>
  </si>
  <si>
    <t>12.88918</t>
  </si>
  <si>
    <t>50.232575</t>
  </si>
  <si>
    <t>info@pedgym-kv.cz</t>
  </si>
  <si>
    <t>https://www.pedgym-kv.cz</t>
  </si>
  <si>
    <t>Střední škola logistická Dalovice, příspěvková organizace</t>
  </si>
  <si>
    <t>Hlavní 114/29, 36263 Dalovice</t>
  </si>
  <si>
    <t>12.892417</t>
  </si>
  <si>
    <t>50.246902</t>
  </si>
  <si>
    <t>info@logistickaskola.cz</t>
  </si>
  <si>
    <t>https://www.logistickaskola.cz</t>
  </si>
  <si>
    <t>Dětský domov Karlovy Vary a Ostrov, příspěvková organizace</t>
  </si>
  <si>
    <t>Dukelských hrdinů 610, 36301 Ostrov</t>
  </si>
  <si>
    <t>12.945082</t>
  </si>
  <si>
    <t>50.303911</t>
  </si>
  <si>
    <t>ddkvo@ddkvo.cz</t>
  </si>
  <si>
    <t>https://www.ddkvo.cz</t>
  </si>
  <si>
    <t>Krušnohorská 304, 36301 Ostrov</t>
  </si>
  <si>
    <t>12.94516</t>
  </si>
  <si>
    <t>50.304747</t>
  </si>
  <si>
    <t>hospodar@zs-ostrov.cz</t>
  </si>
  <si>
    <t>https://zsostrov-krusnohor.cz/cs</t>
  </si>
  <si>
    <t>Střední průmyslová škola Ostrov, příspěvková organizace</t>
  </si>
  <si>
    <t>Klínovecká 1197, 36301 Ostrov</t>
  </si>
  <si>
    <t>12.952136</t>
  </si>
  <si>
    <t>50.304766</t>
  </si>
  <si>
    <t>sekretariat@spsostrov.cz</t>
  </si>
  <si>
    <t>https://www.spsostrov.cz</t>
  </si>
  <si>
    <t>Gymnázium Ostrov, příspěvková organizace</t>
  </si>
  <si>
    <t>Studentská 1205, 36301 Ostrov</t>
  </si>
  <si>
    <t>12.952738</t>
  </si>
  <si>
    <t>50.302827</t>
  </si>
  <si>
    <t>sekretariat@gymostrov.eu</t>
  </si>
  <si>
    <t>https://www.gymostrov.cz</t>
  </si>
  <si>
    <t>Střední lesnická škola Žlutice, příspěvková organizace</t>
  </si>
  <si>
    <t>Žižkov 345, 36452 Žlutice</t>
  </si>
  <si>
    <t>13.16005</t>
  </si>
  <si>
    <t>50.096452</t>
  </si>
  <si>
    <t>info@slszlutice.cz</t>
  </si>
  <si>
    <t>https://www.slszlutice.cz</t>
  </si>
  <si>
    <t>Dětský domov se školou, základní škola a školní jídelna Žlutice, Jiráskova 344</t>
  </si>
  <si>
    <t>soukromé</t>
  </si>
  <si>
    <t>soukromý subjekt</t>
  </si>
  <si>
    <t>Jiráskova 344 36452 Žlutice</t>
  </si>
  <si>
    <t>13.16026</t>
  </si>
  <si>
    <t>50.091067</t>
  </si>
  <si>
    <t>skola@ddszlutice.cz</t>
  </si>
  <si>
    <t>http://www.ddszlutice.cz/</t>
  </si>
  <si>
    <t>Střední škola Euroinstitut v Karlovarském kraji</t>
  </si>
  <si>
    <t>školská právnická osoba</t>
  </si>
  <si>
    <t>Plzeňská 1985/10, 35201 Aš</t>
  </si>
  <si>
    <t>12.193472</t>
  </si>
  <si>
    <t>50.21701</t>
  </si>
  <si>
    <t>karlovarsky@euroinstitut.cz</t>
  </si>
  <si>
    <t>https://www.euroinstitut.cz/euroinstitut-karlovarsky-kraj/</t>
  </si>
  <si>
    <t>NEOnová základní škola</t>
  </si>
  <si>
    <t>12.194256</t>
  </si>
  <si>
    <t>50.216642</t>
  </si>
  <si>
    <t>skola@neonovaskola.cz</t>
  </si>
  <si>
    <t>https://neonovaskola.cz/</t>
  </si>
  <si>
    <t>Lesní mateřská škola Pod Lipami, z. s.</t>
  </si>
  <si>
    <t>zapsaný spolek</t>
  </si>
  <si>
    <t>Dvůr pod lipami 1766/1, 35002 Cheb</t>
  </si>
  <si>
    <t>12.351716</t>
  </si>
  <si>
    <t>50.083097</t>
  </si>
  <si>
    <t>info@lmscheb.cz</t>
  </si>
  <si>
    <t>https://lesni-klub-pod-lipami-cheb.webnode.cz/</t>
  </si>
  <si>
    <t>Waldorfská základní škola a mateřská škola Cheb</t>
  </si>
  <si>
    <t>Divadelní náměstí 554/8, 35002 Cheb</t>
  </si>
  <si>
    <t>12.366726</t>
  </si>
  <si>
    <t>50.077056</t>
  </si>
  <si>
    <t>info@waldorfcheb.cz</t>
  </si>
  <si>
    <t>https://waldorfcheb.cz/</t>
  </si>
  <si>
    <t>Svobodná chebská škola, základní škola a gymnázium s.r.o.</t>
  </si>
  <si>
    <t>společnost s ručením omezeným</t>
  </si>
  <si>
    <t>Jánské náměstí 256/15, 35001 Cheb</t>
  </si>
  <si>
    <t>12.367883</t>
  </si>
  <si>
    <t>50.081327</t>
  </si>
  <si>
    <t>schs@schs.cz</t>
  </si>
  <si>
    <t>http://www.schs.cz/</t>
  </si>
  <si>
    <t>Mateřská škola Diakonie ČCE Cheb</t>
  </si>
  <si>
    <t>26. dubna 2715/7, 35002 Cheb</t>
  </si>
  <si>
    <t>12.370009</t>
  </si>
  <si>
    <t>50.076375</t>
  </si>
  <si>
    <t>reditelka@mscheb.cz</t>
  </si>
  <si>
    <t>https://cheb.diakonie.cz/</t>
  </si>
  <si>
    <t>Vyšší policejní škola a Střední policejní škola Ministerstva vnitra v Praze (pracoviště Sokolov)</t>
  </si>
  <si>
    <t>organizační složka státu</t>
  </si>
  <si>
    <t>stát</t>
  </si>
  <si>
    <t>Komenského 759, 35601 Sokolov</t>
  </si>
  <si>
    <t>12.639017</t>
  </si>
  <si>
    <t>50.178288</t>
  </si>
  <si>
    <t>sekretariat@skolamv.cz</t>
  </si>
  <si>
    <t>https://www.skolamv.cz/studujici/stredni-policejni-skola-sokolov.html</t>
  </si>
  <si>
    <t>Škola Vila, základní škola</t>
  </si>
  <si>
    <t>Rooseweltova 254, 35601 Sokolov</t>
  </si>
  <si>
    <t>12.640352</t>
  </si>
  <si>
    <t>50.180888</t>
  </si>
  <si>
    <t>info@skolavila.cz</t>
  </si>
  <si>
    <t>https://www.skolavila.cz/</t>
  </si>
  <si>
    <t>SOKOREST - zařízení školního stravování, s.r.o.</t>
  </si>
  <si>
    <t>Jednoty 1628, 35101 Sokolov</t>
  </si>
  <si>
    <t>12.645531</t>
  </si>
  <si>
    <t>50.183734</t>
  </si>
  <si>
    <t>INFO@SOKOREST.CZ</t>
  </si>
  <si>
    <t>https://www.sokorest.cz/nase-sluby/skolni-stravovani</t>
  </si>
  <si>
    <t>Vojenská střední škola a Vyšší odborná škola Ministerstva obrany v Moravské Třebové (pracoviště Sokolov)</t>
  </si>
  <si>
    <t>12.645863</t>
  </si>
  <si>
    <t>50.182787</t>
  </si>
  <si>
    <t>kalina@vsmt.cz</t>
  </si>
  <si>
    <t>https://www.vsmt.cz/</t>
  </si>
  <si>
    <t>Soukromá obchodní akademie Sokolov, s.r.o.</t>
  </si>
  <si>
    <t>Hornická 1569, 35605 Sokolov</t>
  </si>
  <si>
    <t>12.658735</t>
  </si>
  <si>
    <t>50.17594</t>
  </si>
  <si>
    <t>soas@e-soas.cz</t>
  </si>
  <si>
    <t>https://www.e-soas.cz/</t>
  </si>
  <si>
    <t>ŠMP Carolina základní škola s.r.o.</t>
  </si>
  <si>
    <t>Mánesova 1672, 35601 Sokolov</t>
  </si>
  <si>
    <t>12.6748442</t>
  </si>
  <si>
    <t>50.1738931</t>
  </si>
  <si>
    <t>carolina.school@email.cz</t>
  </si>
  <si>
    <t>https://www.facebook.com/carolina.school/</t>
  </si>
  <si>
    <t>Škola Můj Projekt Mánesova - Gymnázium, základní škola a mateřská škola s.r.o.</t>
  </si>
  <si>
    <t>12.675284</t>
  </si>
  <si>
    <t>50.174063</t>
  </si>
  <si>
    <t>info@skolamanesova.cz</t>
  </si>
  <si>
    <t>https://www.skolamanesova.cz/</t>
  </si>
  <si>
    <t>MATEŘSKÁ ŠKOLA PRAMÍNEK, v.o.s.</t>
  </si>
  <si>
    <t>veřejná obchodní společnost</t>
  </si>
  <si>
    <t>Tyršova 438/19, 35301 Mariánské Lázně</t>
  </si>
  <si>
    <t>12.699433</t>
  </si>
  <si>
    <t>49.966149</t>
  </si>
  <si>
    <t>mspraminek@centrum.cz</t>
  </si>
  <si>
    <t>https://www.facebook.com/p/M%C5%A0-Pram%C3%ADnek-100057190611718/</t>
  </si>
  <si>
    <t>Základní škola a lesní mateřská škola Čtyřlístek</t>
  </si>
  <si>
    <t>Poštovní 160/17, 35301 Mariánské Lázně</t>
  </si>
  <si>
    <t>12.704136</t>
  </si>
  <si>
    <t>49.971208</t>
  </si>
  <si>
    <t>ctyrlistekml@seznam.cz</t>
  </si>
  <si>
    <t>https://www.ctyrlistekml.cz/</t>
  </si>
  <si>
    <t>JEZDECKÁ AKADEMIE - střední odborná škola Mariánské Lázně s.r.o.</t>
  </si>
  <si>
    <t>Mariánské Lázně 569, 35301 Mariánské Lázně</t>
  </si>
  <si>
    <t>12.722912</t>
  </si>
  <si>
    <t>49.972377</t>
  </si>
  <si>
    <t>jezdeckaakademie@email.cz</t>
  </si>
  <si>
    <t>http://www.jezdeckaakademie.cz/</t>
  </si>
  <si>
    <t>Montessori základní škola a mateřská škola ELIPSA, o.p.s.</t>
  </si>
  <si>
    <t>obecně prospěšná společnost</t>
  </si>
  <si>
    <t>Svatošská 269/21, 36007 Karlovy Vary</t>
  </si>
  <si>
    <t>12.82253</t>
  </si>
  <si>
    <t>50.20632</t>
  </si>
  <si>
    <t>info@montessori-elipsa.cz</t>
  </si>
  <si>
    <t>https://www.montessori-elipsa.cz/mselipsa/</t>
  </si>
  <si>
    <t>Lesní mateřská škola Svatošky z.s.</t>
  </si>
  <si>
    <t>Komenského 97/6, 36007 Karlovy Vary</t>
  </si>
  <si>
    <t>12.82514</t>
  </si>
  <si>
    <t>50.203689</t>
  </si>
  <si>
    <t>martina@svatosky-skolka.cz</t>
  </si>
  <si>
    <t>https://svatosky-skolka.cz/</t>
  </si>
  <si>
    <t>Základní škola, mateřská škola a dětské jesle Moudrá sova s.r.o.</t>
  </si>
  <si>
    <t>Studentská 312/65, 36007 Karlovy Vary</t>
  </si>
  <si>
    <t>12.826334</t>
  </si>
  <si>
    <t>50.209568</t>
  </si>
  <si>
    <t>info@msmoudrasova.cz</t>
  </si>
  <si>
    <t>https://msmoudrasova.cz/</t>
  </si>
  <si>
    <t>Waldorfská základní škola a mateřská škola Wlaštovka Karlovy Vary o.p.s.</t>
  </si>
  <si>
    <t>Modenská 150/15, 36007 Karlovy Vary</t>
  </si>
  <si>
    <t>12.828019</t>
  </si>
  <si>
    <t>50.210171</t>
  </si>
  <si>
    <t>kancelar@wlastovka.cz</t>
  </si>
  <si>
    <t>https://wlastovka.cz/</t>
  </si>
  <si>
    <t>Veselá věda, středisko volného času Západní Čechy s.r.o.</t>
  </si>
  <si>
    <t>Chebská 38/5, 36006 Karlovy Vary</t>
  </si>
  <si>
    <t>12.840273</t>
  </si>
  <si>
    <t>50.230884</t>
  </si>
  <si>
    <t>tereza.zapadlo@veselaveda.cz</t>
  </si>
  <si>
    <t>https://www.veselaveda.cz/</t>
  </si>
  <si>
    <t>Střední odborná škola Karlovy Vary, s.r.o.</t>
  </si>
  <si>
    <t>Konečná 908/21, 36005 Karlovy Vary</t>
  </si>
  <si>
    <t>12.852584</t>
  </si>
  <si>
    <t>50.240108</t>
  </si>
  <si>
    <t>sekretariat@soskv.cz</t>
  </si>
  <si>
    <t>https://www.soskv.cz/</t>
  </si>
  <si>
    <t>Základní škola a mateřská škola Regionu Karlovarský venkov</t>
  </si>
  <si>
    <t>Děpoltovická 71, 36261 Otovice</t>
  </si>
  <si>
    <t>Sadov</t>
  </si>
  <si>
    <t>12.871188</t>
  </si>
  <si>
    <t>50.25562</t>
  </si>
  <si>
    <t>vedeni.skoly@skola-kvvenkov.cz</t>
  </si>
  <si>
    <t>https://www.skolaplnapohody.cz/</t>
  </si>
  <si>
    <t>TRIVIS - Střední škola veřejnoprávní Karlovy Vary, s.r.o.</t>
  </si>
  <si>
    <t>T. G. Masaryka 559/1, 36001 Karlovy Vary</t>
  </si>
  <si>
    <t>12.874078</t>
  </si>
  <si>
    <t>50.228944</t>
  </si>
  <si>
    <t>karlovyvary@trivis.cz</t>
  </si>
  <si>
    <t>https://www.trivis-kv.cz/</t>
  </si>
  <si>
    <t>Soukromá mateřská škola Benedikt s.r.o.</t>
  </si>
  <si>
    <t>Krále Jiřího 1341/4, 36001 Karlovy Vary</t>
  </si>
  <si>
    <t>12.875426</t>
  </si>
  <si>
    <t>50.226197</t>
  </si>
  <si>
    <t>msbenedikt@msbenedikt.cz</t>
  </si>
  <si>
    <t>https://msbenedikt.cz/</t>
  </si>
  <si>
    <t>Středisko praktického vyučování GRANDHOTEL PUPP o.p.s.</t>
  </si>
  <si>
    <t>Mírové náměstí 316/2, 36091 Karlovy Vary</t>
  </si>
  <si>
    <t>12.878589</t>
  </si>
  <si>
    <t>50.220017</t>
  </si>
  <si>
    <t>spv@pupp.cz</t>
  </si>
  <si>
    <t>https://www.pupp.cz/spv</t>
  </si>
  <si>
    <t>Soukromá obchodní akademie Podnikatel, spol. s r.o.</t>
  </si>
  <si>
    <t>nám. V. Řezáče 136/5, 36009 Karlovy Vary</t>
  </si>
  <si>
    <t>12.880333</t>
  </si>
  <si>
    <t>50.235134</t>
  </si>
  <si>
    <t>info@soapodnikatel.cz</t>
  </si>
  <si>
    <t>https://soapodnikatel.cz/</t>
  </si>
  <si>
    <t>Carlsbad Montessori School, základní škola, s.r.o.</t>
  </si>
  <si>
    <t>Slovenská 477/5, 36001 Karlovy Vary</t>
  </si>
  <si>
    <t>12.88048</t>
  </si>
  <si>
    <t>50.21378</t>
  </si>
  <si>
    <t>miroslava.broz@gmail.com</t>
  </si>
  <si>
    <t>https://carlsbadmontessori.cz/</t>
  </si>
  <si>
    <t>Západočeská univerzita v Plzni, Fakulta ekonomická</t>
  </si>
  <si>
    <t>vysoká škola (veřejná, státní)</t>
  </si>
  <si>
    <t>Hradební 22, 350 11 Cheb</t>
  </si>
  <si>
    <t>12.3640369</t>
  </si>
  <si>
    <t>50.0766447</t>
  </si>
  <si>
    <t>fek@service.zcu.cz</t>
  </si>
  <si>
    <t>https://www.fek.zcu.cz/studium.php</t>
  </si>
  <si>
    <t>Západočeská univerzita v Plzni, Fakulta pedagogická</t>
  </si>
  <si>
    <t>12.3638278</t>
  </si>
  <si>
    <t>50.0758617</t>
  </si>
  <si>
    <t>pzelenko@fpe.zcu.cz</t>
  </si>
  <si>
    <t>https://www.fpe.zcu.cz/cs/Faculty/About-us/cheb</t>
  </si>
  <si>
    <t>nábřeží Jana Palacha 20, 360 01 Karlovy Vary</t>
  </si>
  <si>
    <t>12.873537</t>
  </si>
  <si>
    <t>50.230958</t>
  </si>
  <si>
    <t>mkrakor@fpe.zcu.cz</t>
  </si>
  <si>
    <t>https://www.fpe.zcu.cz/cs/Faculty/About-us/karlovy-vary.html</t>
  </si>
  <si>
    <t>Česká zemědělská univerzita v Praze, Fakulta životního prostředí</t>
  </si>
  <si>
    <t>Krajský úřad Karlovarského kraje, Závodní 353/88, 360 21 Karlovy Vary</t>
  </si>
  <si>
    <t>12.823912</t>
  </si>
  <si>
    <t>50.218579</t>
  </si>
  <si>
    <t>dekanat_fzp@fzp.czu.cz</t>
  </si>
  <si>
    <t>https://www.fzp.czu.cz/cs</t>
  </si>
  <si>
    <t>Vysoká škola finanční a správní, a.s.</t>
  </si>
  <si>
    <t>akciová společnost</t>
  </si>
  <si>
    <t>T. G. Masaryka 541/3, 360 01 Karlovy Vary</t>
  </si>
  <si>
    <t>12.873336</t>
  </si>
  <si>
    <t>50.229099</t>
  </si>
  <si>
    <t>karlovyvary@vsfs.cz</t>
  </si>
  <si>
    <t>https://www.vsfs.cz/?id=2450-studijni-stredisko-karlov</t>
  </si>
  <si>
    <t>Vysoká škola zdravotnická, o. p. s.</t>
  </si>
  <si>
    <t>Poláčkova 2048, 356 01 Sokolov</t>
  </si>
  <si>
    <t>12.661219</t>
  </si>
  <si>
    <t>50.173854</t>
  </si>
  <si>
    <t>karaskova@vszdrav.cz</t>
  </si>
  <si>
    <t>https://www.vszdrav.cz/odloucene-pracoviste</t>
  </si>
  <si>
    <t>VÝCHOVNÝ ÚSTAV, DĚTSKÝ DOMOV SE ŠKOLOU, STŘEDISKO VÝCHOVNÉ PÉČE, ZÁKLADNÍ ŠKOLA A STŘEDNÍ ŠKOLA BUŠKOVICE - pracoviště Toužim</t>
  </si>
  <si>
    <t>MŠMT</t>
  </si>
  <si>
    <t>Jiráskova 344</t>
  </si>
  <si>
    <t>veducitel@vubuskovice.cz</t>
  </si>
  <si>
    <t>https://www.vubuskovice.cz/kontakty</t>
  </si>
  <si>
    <t>Počet z Identifikační číslo organizace</t>
  </si>
  <si>
    <t>Popisky sloupců</t>
  </si>
  <si>
    <t>Popisky řádků</t>
  </si>
  <si>
    <t>jedná se o sídla škol, ne o všechny pobočky a pracoviště, kterých je více</t>
  </si>
  <si>
    <t>Počet ZŠ (sídla bez poboček) prvního a/nebo druhého stupně v ORP celkem</t>
  </si>
  <si>
    <t>Počet sídel škol, bez poboček</t>
  </si>
  <si>
    <t>sídlo školy zřizované MŠMT je mimo kraj, ale pobočka je v kraji (v Toužimi při dětském domově, škola není otevřena pro veřejnost, jen pro děti z dětského domova)</t>
  </si>
  <si>
    <t>Počet obyvatel</t>
  </si>
  <si>
    <t>SO ORP Aš</t>
  </si>
  <si>
    <t>SO ORP Cheb</t>
  </si>
  <si>
    <t>SO ORP Karlovy Vary</t>
  </si>
  <si>
    <t>SO ORP Kraslice</t>
  </si>
  <si>
    <t>SO ORP Mariánské Lázně</t>
  </si>
  <si>
    <t>SO ORP Ostrov</t>
  </si>
  <si>
    <t>SO ORP Sokolov</t>
  </si>
  <si>
    <t>3051</t>
  </si>
  <si>
    <t>kód obce</t>
  </si>
  <si>
    <t>CZKod</t>
  </si>
  <si>
    <t>k 1.1.2026</t>
  </si>
  <si>
    <t>CZ0411</t>
  </si>
  <si>
    <t>CZ0412</t>
  </si>
  <si>
    <t>CZ0413</t>
  </si>
  <si>
    <t>CZ041</t>
  </si>
  <si>
    <t>40428</t>
  </si>
  <si>
    <t>40436</t>
  </si>
  <si>
    <t>40444</t>
  </si>
  <si>
    <t>Abertamy (okres Karlovy Vary)</t>
  </si>
  <si>
    <t>Andělská Hora (okres Karlovy Vary)</t>
  </si>
  <si>
    <t>Aš (okres Cheb)</t>
  </si>
  <si>
    <t>Bečov nad Teplou (okres Karlovy Vary)</t>
  </si>
  <si>
    <t>Bochov (okres Karlovy Vary)</t>
  </si>
  <si>
    <t>Boží Dar (okres Karlovy Vary)</t>
  </si>
  <si>
    <t>Božičany (okres Karlovy Vary)</t>
  </si>
  <si>
    <t>Bražec (okres Karlovy Vary)</t>
  </si>
  <si>
    <t>Březová (okres Karlovy Vary)</t>
  </si>
  <si>
    <t>Březová (okres Sokolov)</t>
  </si>
  <si>
    <t>Bublava (okres Sokolov)</t>
  </si>
  <si>
    <t>Bukovany (okres Sokolov)</t>
  </si>
  <si>
    <t>Citice (okres Sokolov)</t>
  </si>
  <si>
    <t>Černava (okres Karlovy Vary)</t>
  </si>
  <si>
    <t>Čichalov (okres Karlovy Vary)</t>
  </si>
  <si>
    <t>Dalovice (okres Karlovy Vary)</t>
  </si>
  <si>
    <t>Dasnice (okres Sokolov)</t>
  </si>
  <si>
    <t>Děpoltovice (okres Karlovy Vary)</t>
  </si>
  <si>
    <t>Dolní Nivy (okres Sokolov)</t>
  </si>
  <si>
    <t>Dolní Rychnov (okres Sokolov)</t>
  </si>
  <si>
    <t>Dolní Žandov (okres Cheb)</t>
  </si>
  <si>
    <t>Doupovské Hradiště (okres Karlovy Vary)</t>
  </si>
  <si>
    <t>Drmoul (okres Cheb)</t>
  </si>
  <si>
    <t>Františkovy Lázně (okres Cheb)</t>
  </si>
  <si>
    <t>Habartov (okres Sokolov)</t>
  </si>
  <si>
    <t>Hájek (okres Karlovy Vary)</t>
  </si>
  <si>
    <t>Hazlov (okres Cheb)</t>
  </si>
  <si>
    <t>Horní Blatná (okres Karlovy Vary)</t>
  </si>
  <si>
    <t>Horní Slavkov (okres Sokolov)</t>
  </si>
  <si>
    <t>Hory (okres Karlovy Vary)</t>
  </si>
  <si>
    <t>Hradiště (okres Karlovy Vary)</t>
  </si>
  <si>
    <t>Hranice (okres Cheb)</t>
  </si>
  <si>
    <t>Hroznětín (okres Karlovy Vary)</t>
  </si>
  <si>
    <t>Cheb (okres Cheb)</t>
  </si>
  <si>
    <t>Chlum Svaté Maří (okres Sokolov)</t>
  </si>
  <si>
    <t>Chodov (okres Karlovy Vary)</t>
  </si>
  <si>
    <t>Chodov (okres Sokolov)</t>
  </si>
  <si>
    <t>Chyše (okres Karlovy Vary)</t>
  </si>
  <si>
    <t>Jáchymov (okres Karlovy Vary)</t>
  </si>
  <si>
    <t>Jenišov (okres Karlovy Vary)</t>
  </si>
  <si>
    <t>Jindřichovice (okres Sokolov)</t>
  </si>
  <si>
    <t>Josefov (okres Sokolov)</t>
  </si>
  <si>
    <t>Kaceřov (okres Sokolov)</t>
  </si>
  <si>
    <t>Karlovy Vary (okres Karlovy Vary)</t>
  </si>
  <si>
    <t>Kolová (okres Karlovy Vary)</t>
  </si>
  <si>
    <t>Krajková (okres Sokolov)</t>
  </si>
  <si>
    <t>Královské Poříčí (okres Sokolov)</t>
  </si>
  <si>
    <t>Kraslice (okres Sokolov)</t>
  </si>
  <si>
    <t>Krásná (okres Cheb)</t>
  </si>
  <si>
    <t>Krásné Údolí (okres Karlovy Vary)</t>
  </si>
  <si>
    <t>Krásno (okres Sokolov)</t>
  </si>
  <si>
    <t>Krásný Les (okres Karlovy Vary)</t>
  </si>
  <si>
    <t>Křižovatka (okres Cheb)</t>
  </si>
  <si>
    <t>Kynšperk nad Ohří (okres Sokolov)</t>
  </si>
  <si>
    <t>Kyselka (okres Karlovy Vary)</t>
  </si>
  <si>
    <t>Lázně Kynžvart (okres Cheb)</t>
  </si>
  <si>
    <t>Libá (okres Cheb)</t>
  </si>
  <si>
    <t>Libavské Údolí (okres Sokolov)</t>
  </si>
  <si>
    <t>Lipová (okres Cheb)</t>
  </si>
  <si>
    <t>Loket (okres Sokolov)</t>
  </si>
  <si>
    <t>Lomnice (okres Sokolov)</t>
  </si>
  <si>
    <t>Luby (okres Cheb)</t>
  </si>
  <si>
    <t>Mariánské Lázně (okres Cheb)</t>
  </si>
  <si>
    <t>Merklín (okres Karlovy Vary)</t>
  </si>
  <si>
    <t>Milhostov (okres Cheb)</t>
  </si>
  <si>
    <t>Milíkov (okres Cheb)</t>
  </si>
  <si>
    <t>Mírová (okres Karlovy Vary)</t>
  </si>
  <si>
    <t>Mnichov (okres Cheb)</t>
  </si>
  <si>
    <t>Nebanice (okres Cheb)</t>
  </si>
  <si>
    <t>Nejdek (okres Karlovy Vary)</t>
  </si>
  <si>
    <t>Nová Role (okres Karlovy Vary)</t>
  </si>
  <si>
    <t>Nová Ves (okres Sokolov)</t>
  </si>
  <si>
    <t>Nové Hamry (okres Karlovy Vary)</t>
  </si>
  <si>
    <t>Nové Sedlo (okres Sokolov)</t>
  </si>
  <si>
    <t>Nový Kostel (okres Cheb)</t>
  </si>
  <si>
    <t>Odrava (okres Cheb)</t>
  </si>
  <si>
    <t>Okrouhlá (okres Cheb)</t>
  </si>
  <si>
    <t>Oloví (okres Sokolov)</t>
  </si>
  <si>
    <t>Ostrov (okres Karlovy Vary)</t>
  </si>
  <si>
    <t>Otovice (okres Karlovy Vary)</t>
  </si>
  <si>
    <t>Otročín (okres Karlovy Vary)</t>
  </si>
  <si>
    <t>Ovesné Kladruby (okres Cheb)</t>
  </si>
  <si>
    <t>Pernink (okres Karlovy Vary)</t>
  </si>
  <si>
    <t>Pila (okres Karlovy Vary)</t>
  </si>
  <si>
    <t>Plesná (okres Cheb)</t>
  </si>
  <si>
    <t>Podhradí (okres Cheb)</t>
  </si>
  <si>
    <t>Pomezí nad Ohří (okres Cheb)</t>
  </si>
  <si>
    <t>Potůčky (okres Karlovy Vary)</t>
  </si>
  <si>
    <t>Poustka (okres Cheb)</t>
  </si>
  <si>
    <t>Prameny (okres Cheb)</t>
  </si>
  <si>
    <t>Přebuz (okres Sokolov)</t>
  </si>
  <si>
    <t>Pšov (okres Karlovy Vary)</t>
  </si>
  <si>
    <t>Rotava (okres Sokolov)</t>
  </si>
  <si>
    <t>Rovná (okres Sokolov)</t>
  </si>
  <si>
    <t>Sadov (okres Karlovy Vary)</t>
  </si>
  <si>
    <t>Skalná (okres Cheb)</t>
  </si>
  <si>
    <t>Smolné Pece (okres Karlovy Vary)</t>
  </si>
  <si>
    <t>Sokolov (okres Sokolov)</t>
  </si>
  <si>
    <t>Stanovice (okres Karlovy Vary)</t>
  </si>
  <si>
    <t>Stará Voda (okres Cheb)</t>
  </si>
  <si>
    <t>Staré Sedlo (okres Sokolov)</t>
  </si>
  <si>
    <t>Stráž nad Ohří (okres Karlovy Vary)</t>
  </si>
  <si>
    <t>Stružná (okres Karlovy Vary)</t>
  </si>
  <si>
    <t>Stříbrná (okres Sokolov)</t>
  </si>
  <si>
    <t>Svatava (okres Sokolov)</t>
  </si>
  <si>
    <t>Šabina (okres Sokolov)</t>
  </si>
  <si>
    <t>Šemnice (okres Karlovy Vary)</t>
  </si>
  <si>
    <t>Šindelová (okres Sokolov)</t>
  </si>
  <si>
    <t>Štědrá (okres Karlovy Vary)</t>
  </si>
  <si>
    <t>Tatrovice (okres Sokolov)</t>
  </si>
  <si>
    <t>Teplá (okres Cheb)</t>
  </si>
  <si>
    <t>Teplička (okres Karlovy Vary)</t>
  </si>
  <si>
    <t>Těšovice (okres Sokolov)</t>
  </si>
  <si>
    <t>Toužim (okres Karlovy Vary)</t>
  </si>
  <si>
    <t>Trstěnice (okres Cheb)</t>
  </si>
  <si>
    <t>Třebeň (okres Cheb)</t>
  </si>
  <si>
    <t>Tři Sekery (okres Cheb)</t>
  </si>
  <si>
    <t>Tuřany (okres Cheb)</t>
  </si>
  <si>
    <t>Útvina (okres Karlovy Vary)</t>
  </si>
  <si>
    <t>Valeč (okres Karlovy Vary)</t>
  </si>
  <si>
    <t>Valy (okres Cheb)</t>
  </si>
  <si>
    <t>Velichov (okres Karlovy Vary)</t>
  </si>
  <si>
    <t>Velká Hleďsebe (okres Cheb)</t>
  </si>
  <si>
    <t>Velký Luh (okres Cheb)</t>
  </si>
  <si>
    <t>Verušičky (okres Karlovy Vary)</t>
  </si>
  <si>
    <t>Vintířov (okres Sokolov)</t>
  </si>
  <si>
    <t>Vlkovice (okres Cheb)</t>
  </si>
  <si>
    <t>Vojkovice (okres Karlovy Vary)</t>
  </si>
  <si>
    <t>Vojtanov (okres Cheb)</t>
  </si>
  <si>
    <t>Vrbice (okres Karlovy Vary)</t>
  </si>
  <si>
    <t>Vřesová (okres Sokolov)</t>
  </si>
  <si>
    <t>Vysoká Pec (okres Karlovy Vary)</t>
  </si>
  <si>
    <t>Zádub-Závišín (okres Cheb)</t>
  </si>
  <si>
    <t>Žlutice (okres Karlovy Vary)</t>
  </si>
  <si>
    <t>-</t>
  </si>
  <si>
    <t>Počet obyvatel obce</t>
  </si>
  <si>
    <t>Počet žáků</t>
  </si>
  <si>
    <t>Počet pedagogického personálu</t>
  </si>
  <si>
    <t>Počet učitelů</t>
  </si>
  <si>
    <t>Základní školy (sídla) v obcích, ORP a okresech Karlovarského kraje</t>
  </si>
  <si>
    <t>Základní školy (sídla) v ORP a okresech Karlovarského kraje</t>
  </si>
  <si>
    <t>Seznam školských zařízení v Karlovarském kraji</t>
  </si>
  <si>
    <t>ve školním roce 2025/26</t>
  </si>
  <si>
    <t>Filtrací či Pivoz Seznamůu ZŠ lze zjistit školy v obcích, ORP a okresech.</t>
  </si>
  <si>
    <t>počty žáků a učitelů po ORP teď nedokážeme zjistit, zkoušíme získat od obcí, MAP či  ORP</t>
  </si>
  <si>
    <t>v podkladech "Kaskáda AI akceletárotu"</t>
  </si>
  <si>
    <t>Oblast</t>
  </si>
  <si>
    <t>0 let</t>
  </si>
  <si>
    <t>1 až 4 roky</t>
  </si>
  <si>
    <t>5 až 9 let</t>
  </si>
  <si>
    <t>10 až 14 let</t>
  </si>
  <si>
    <t>Ve věku</t>
  </si>
  <si>
    <t>Počet obyvatel Celkem</t>
  </si>
  <si>
    <t>0-14 let</t>
  </si>
  <si>
    <t>Vlastní výběr VDB</t>
  </si>
  <si>
    <t>ČSÚ</t>
  </si>
  <si>
    <t>Zdroj</t>
  </si>
  <si>
    <t>Dataportál Karlovarského kraje - DATAZAPAD.cz</t>
  </si>
  <si>
    <t>ZŠ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</si>
</sst>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,###,##0"/>
  </numFmts>
  <fonts count="28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3.5"/>
      <color rgb="FF1C2530"/>
      <name val="Arial"/>
      <family val="2"/>
      <charset val="238"/>
    </font>
    <font>
      <b/>
      <sz val="11"/>
      <color rgb="FF1C2530"/>
      <name val="Arial"/>
      <family val="2"/>
      <charset val="238"/>
    </font>
    <font>
      <b/>
      <i/>
      <sz val="10"/>
      <color rgb="FF555555"/>
      <name val="Inherit"/>
    </font>
    <font>
      <sz val="10"/>
      <color rgb="FF222222"/>
      <name val="Inherit"/>
    </font>
    <font>
      <u/>
      <sz val="11"/>
      <color theme="10"/>
      <name val="Aptos Narrow"/>
      <family val="2"/>
      <charset val="238"/>
      <scheme val="minor"/>
    </font>
    <font>
      <b/>
      <sz val="18"/>
      <color rgb="FF1C2530"/>
      <name val="Arial"/>
      <family val="2"/>
      <charset val="238"/>
    </font>
    <font>
      <sz val="11"/>
      <color rgb="FF6B7885"/>
      <name val="Arial"/>
      <family val="2"/>
      <charset val="238"/>
    </font>
    <font>
      <b/>
      <sz val="24"/>
      <color rgb="FF1C2530"/>
      <name val="Arial"/>
      <family val="2"/>
      <charset val="238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1F1F1F"/>
      <name val="Arial"/>
      <family val="2"/>
      <charset val="238"/>
    </font>
    <font>
      <sz val="19"/>
      <color rgb="FF888888"/>
      <name val="Arial"/>
      <family val="2"/>
      <charset val="238"/>
    </font>
    <font>
      <sz val="12"/>
      <color rgb="FF000000"/>
      <name val="Montserrat"/>
      <charset val="238"/>
    </font>
    <font>
      <sz val="14"/>
      <color rgb="FF000000"/>
      <name val="Montserrat"/>
      <charset val="238"/>
    </font>
    <font>
      <b/>
      <sz val="12"/>
      <color rgb="FF000000"/>
      <name val="Montserrat"/>
      <charset val="238"/>
    </font>
    <font>
      <b/>
      <sz val="10"/>
      <color rgb="FF1C2530"/>
      <name val="Arial"/>
      <family val="2"/>
      <charset val="238"/>
    </font>
    <font>
      <b/>
      <sz val="10"/>
      <color rgb="FF222222"/>
      <name val="Arial"/>
      <family val="2"/>
      <charset val="238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rial CE"/>
      <family val="2"/>
      <charset val="238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ck">
        <color rgb="FFDC5B5B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26" fillId="0" borderId="0">
      <alignment vertical="center"/>
    </xf>
    <xf numFmtId="0" fontId="27" fillId="0" borderId="0"/>
    <xf numFmtId="0" fontId="27" fillId="0" borderId="0"/>
  </cellStyleXfs>
  <cellXfs count="9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2" borderId="0" xfId="0" applyFont="1" applyFill="1"/>
    <xf numFmtId="0" fontId="6" fillId="0" borderId="0" xfId="1"/>
    <xf numFmtId="0" fontId="11" fillId="0" borderId="0" xfId="0" applyFont="1"/>
    <xf numFmtId="0" fontId="11" fillId="3" borderId="0" xfId="0" applyFont="1" applyFill="1"/>
    <xf numFmtId="0" fontId="0" fillId="0" borderId="0" xfId="0" pivotButton="1"/>
    <xf numFmtId="0" fontId="1" fillId="4" borderId="2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4" borderId="3" xfId="0" applyFont="1" applyFill="1" applyBorder="1" applyAlignment="1">
      <alignment horizontal="left"/>
    </xf>
    <xf numFmtId="0" fontId="1" fillId="4" borderId="3" xfId="0" applyFont="1" applyFill="1" applyBorder="1"/>
    <xf numFmtId="0" fontId="0" fillId="0" borderId="4" xfId="0" applyBorder="1"/>
    <xf numFmtId="164" fontId="0" fillId="0" borderId="4" xfId="0" applyNumberFormat="1" applyBorder="1"/>
    <xf numFmtId="0" fontId="10" fillId="2" borderId="8" xfId="0" applyFont="1" applyFill="1" applyBorder="1"/>
    <xf numFmtId="0" fontId="0" fillId="0" borderId="8" xfId="0" applyBorder="1"/>
    <xf numFmtId="0" fontId="11" fillId="0" borderId="9" xfId="0" applyFont="1" applyBorder="1"/>
    <xf numFmtId="164" fontId="11" fillId="0" borderId="9" xfId="0" applyNumberFormat="1" applyFont="1" applyBorder="1"/>
    <xf numFmtId="0" fontId="10" fillId="2" borderId="10" xfId="0" applyFont="1" applyFill="1" applyBorder="1"/>
    <xf numFmtId="0" fontId="11" fillId="0" borderId="6" xfId="0" applyFont="1" applyBorder="1"/>
    <xf numFmtId="0" fontId="13" fillId="0" borderId="7" xfId="1" applyFont="1" applyBorder="1"/>
    <xf numFmtId="0" fontId="11" fillId="0" borderId="11" xfId="0" applyFont="1" applyBorder="1"/>
    <xf numFmtId="0" fontId="0" fillId="0" borderId="12" xfId="0" applyBorder="1"/>
    <xf numFmtId="0" fontId="11" fillId="0" borderId="13" xfId="0" applyFont="1" applyBorder="1"/>
    <xf numFmtId="0" fontId="11" fillId="0" borderId="14" xfId="0" applyFont="1" applyBorder="1"/>
    <xf numFmtId="0" fontId="0" fillId="0" borderId="15" xfId="0" applyBorder="1"/>
    <xf numFmtId="0" fontId="11" fillId="0" borderId="16" xfId="0" applyFont="1" applyBorder="1"/>
    <xf numFmtId="164" fontId="10" fillId="2" borderId="8" xfId="0" applyNumberFormat="1" applyFont="1" applyFill="1" applyBorder="1"/>
    <xf numFmtId="0" fontId="14" fillId="0" borderId="0" xfId="0" applyFont="1"/>
    <xf numFmtId="0" fontId="0" fillId="0" borderId="5" xfId="0" applyBorder="1" applyAlignment="1">
      <alignment wrapText="1"/>
    </xf>
    <xf numFmtId="0" fontId="10" fillId="2" borderId="5" xfId="0" applyFont="1" applyFill="1" applyBorder="1" applyAlignment="1">
      <alignment wrapText="1"/>
    </xf>
    <xf numFmtId="0" fontId="12" fillId="2" borderId="8" xfId="0" applyFont="1" applyFill="1" applyBorder="1"/>
    <xf numFmtId="0" fontId="15" fillId="0" borderId="0" xfId="0" applyFont="1"/>
    <xf numFmtId="0" fontId="6" fillId="0" borderId="0" xfId="1" applyAlignment="1">
      <alignment vertical="center" wrapText="1"/>
    </xf>
    <xf numFmtId="3" fontId="6" fillId="0" borderId="0" xfId="1" applyNumberForma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11" fillId="7" borderId="0" xfId="0" applyFont="1" applyFill="1"/>
    <xf numFmtId="0" fontId="22" fillId="4" borderId="17" xfId="0" applyFont="1" applyFill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8" borderId="17" xfId="0" applyFont="1" applyFill="1" applyBorder="1" applyAlignment="1">
      <alignment horizontal="left" vertical="center"/>
    </xf>
    <xf numFmtId="0" fontId="24" fillId="0" borderId="0" xfId="0" applyFont="1"/>
    <xf numFmtId="0" fontId="22" fillId="0" borderId="19" xfId="0" applyFont="1" applyBorder="1"/>
    <xf numFmtId="0" fontId="22" fillId="4" borderId="19" xfId="0" applyFont="1" applyFill="1" applyBorder="1"/>
    <xf numFmtId="0" fontId="25" fillId="11" borderId="19" xfId="0" applyFont="1" applyFill="1" applyBorder="1" applyAlignment="1">
      <alignment horizontal="right" vertical="center" wrapText="1"/>
    </xf>
    <xf numFmtId="0" fontId="25" fillId="0" borderId="19" xfId="0" applyFont="1" applyBorder="1" applyAlignment="1">
      <alignment horizontal="right" vertical="center" wrapText="1"/>
    </xf>
    <xf numFmtId="165" fontId="22" fillId="0" borderId="4" xfId="0" applyNumberFormat="1" applyFont="1" applyBorder="1" applyAlignment="1">
      <alignment horizontal="right" vertical="center" wrapText="1"/>
    </xf>
    <xf numFmtId="165" fontId="22" fillId="4" borderId="4" xfId="0" applyNumberFormat="1" applyFont="1" applyFill="1" applyBorder="1" applyAlignment="1">
      <alignment horizontal="right" vertical="center" wrapText="1"/>
    </xf>
    <xf numFmtId="165" fontId="22" fillId="4" borderId="9" xfId="0" applyNumberFormat="1" applyFont="1" applyFill="1" applyBorder="1" applyAlignment="1">
      <alignment horizontal="right" vertical="center" wrapText="1"/>
    </xf>
    <xf numFmtId="0" fontId="22" fillId="0" borderId="4" xfId="0" applyFont="1" applyBorder="1" applyAlignment="1">
      <alignment horizontal="right" vertical="center" wrapTex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12" borderId="0" xfId="0" applyFill="1"/>
    <xf numFmtId="0" fontId="22" fillId="13" borderId="19" xfId="0" applyFont="1" applyFill="1" applyBorder="1"/>
    <xf numFmtId="0" fontId="22" fillId="13" borderId="17" xfId="0" applyFont="1" applyFill="1" applyBorder="1" applyAlignment="1">
      <alignment horizontal="left" vertical="center"/>
    </xf>
    <xf numFmtId="0" fontId="22" fillId="14" borderId="19" xfId="0" applyFont="1" applyFill="1" applyBorder="1"/>
    <xf numFmtId="0" fontId="22" fillId="14" borderId="17" xfId="0" applyFont="1" applyFill="1" applyBorder="1" applyAlignment="1">
      <alignment horizontal="left" vertical="center"/>
    </xf>
    <xf numFmtId="0" fontId="22" fillId="13" borderId="18" xfId="0" applyFont="1" applyFill="1" applyBorder="1" applyAlignment="1">
      <alignment horizontal="left" vertical="center"/>
    </xf>
    <xf numFmtId="0" fontId="22" fillId="0" borderId="20" xfId="0" applyFont="1" applyBorder="1"/>
    <xf numFmtId="0" fontId="22" fillId="0" borderId="20" xfId="0" applyFont="1" applyBorder="1" applyAlignment="1">
      <alignment horizontal="right"/>
    </xf>
    <xf numFmtId="0" fontId="22" fillId="9" borderId="21" xfId="0" applyFont="1" applyFill="1" applyBorder="1" applyAlignment="1">
      <alignment horizontal="left" vertical="center"/>
    </xf>
    <xf numFmtId="0" fontId="0" fillId="0" borderId="22" xfId="0" applyBorder="1"/>
    <xf numFmtId="0" fontId="23" fillId="10" borderId="23" xfId="0" applyFont="1" applyFill="1" applyBorder="1"/>
    <xf numFmtId="0" fontId="0" fillId="0" borderId="23" xfId="0" applyBorder="1"/>
    <xf numFmtId="0" fontId="27" fillId="0" borderId="24" xfId="3" applyBorder="1" applyAlignment="1">
      <alignment horizontal="center" vertical="center" wrapText="1"/>
    </xf>
    <xf numFmtId="165" fontId="27" fillId="0" borderId="4" xfId="4" applyNumberFormat="1" applyBorder="1" applyAlignment="1">
      <alignment horizontal="right" vertical="center" wrapText="1"/>
    </xf>
    <xf numFmtId="165" fontId="27" fillId="0" borderId="9" xfId="4" applyNumberFormat="1" applyBorder="1" applyAlignment="1">
      <alignment horizontal="right" vertical="center" wrapText="1"/>
    </xf>
    <xf numFmtId="0" fontId="0" fillId="0" borderId="25" xfId="0" applyBorder="1"/>
    <xf numFmtId="165" fontId="22" fillId="4" borderId="26" xfId="0" applyNumberFormat="1" applyFont="1" applyFill="1" applyBorder="1" applyAlignment="1">
      <alignment horizontal="right" vertical="center" wrapText="1"/>
    </xf>
    <xf numFmtId="165" fontId="22" fillId="0" borderId="27" xfId="0" applyNumberFormat="1" applyFont="1" applyBorder="1" applyAlignment="1">
      <alignment horizontal="right" vertical="center" wrapText="1"/>
    </xf>
    <xf numFmtId="165" fontId="22" fillId="4" borderId="27" xfId="0" applyNumberFormat="1" applyFont="1" applyFill="1" applyBorder="1" applyAlignment="1">
      <alignment horizontal="right" vertical="center" wrapText="1"/>
    </xf>
    <xf numFmtId="0" fontId="27" fillId="0" borderId="6" xfId="3" applyBorder="1" applyAlignment="1">
      <alignment horizontal="center" vertical="center" wrapText="1"/>
    </xf>
    <xf numFmtId="0" fontId="27" fillId="0" borderId="7" xfId="3" applyFill="1" applyBorder="1" applyAlignment="1">
      <alignment horizontal="center" vertical="center" wrapText="1"/>
    </xf>
    <xf numFmtId="165" fontId="27" fillId="0" borderId="17" xfId="4" applyNumberFormat="1" applyBorder="1" applyAlignment="1">
      <alignment horizontal="right" vertical="center" wrapText="1"/>
    </xf>
    <xf numFmtId="165" fontId="0" fillId="0" borderId="8" xfId="0" applyNumberFormat="1" applyBorder="1"/>
    <xf numFmtId="165" fontId="27" fillId="0" borderId="18" xfId="4" applyNumberFormat="1" applyBorder="1" applyAlignment="1">
      <alignment horizontal="right" vertical="center" wrapText="1"/>
    </xf>
    <xf numFmtId="165" fontId="0" fillId="0" borderId="10" xfId="0" applyNumberFormat="1" applyBorder="1"/>
  </cellXfs>
  <cellStyles count="5">
    <cellStyle name="Hypertextový odkaz" xfId="1" builtinId="8"/>
    <cellStyle name="Normální" xfId="0" builtinId="0"/>
    <cellStyle name="normální 2" xfId="2" xr:uid="{82D936C1-0A70-456E-ACA3-C9B83A19EBC2}"/>
    <cellStyle name="Normální 3" xfId="3" xr:uid="{3AC8CD69-3448-4793-88DE-F3100FBE0AB2}"/>
    <cellStyle name="Normální 4" xfId="4" xr:uid="{07769F61-4278-483B-B927-1BB7A1676103}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ocioekonomick&#225;%20anal&#253;za%20KK/PocetObyvatelKrajuCR_ObciORPkrajuKVK_1993-2023.xlsx" TargetMode="External"/><Relationship Id="rId2" Type="http://schemas.openxmlformats.org/officeDocument/2006/relationships/externalLinkPath" Target="https://karpkv.sharepoint.com/sites/AnalyticiKARP/Sdilene%20dokumenty/Aktivity/Socioekonomick&#225;%20anal&#253;za%20KK/PocetObyvatelKrajuCR_ObciORPkrajuKVK_1993-2023.xlsx" TargetMode="External"/><Relationship Id="rId1" Type="http://schemas.openxmlformats.org/officeDocument/2006/relationships/externalLinkPath" Target="/sites/AnalyticiKARP/Sdilene%20dokumenty/Aktivity/Socioekonomick&#225;%20anal&#253;za%20KK/PocetObyvatelKrajuCR_ObciORPkrajuKVK_1993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rovnane"/>
      <sheetName val="2024"/>
      <sheetName val="List1"/>
      <sheetName val="UKAZATELE"/>
      <sheetName val="METAINFORMACE"/>
    </sheetNames>
    <sheetDataSet>
      <sheetData sheetId="0">
        <row r="37">
          <cell r="B37">
            <v>554979</v>
          </cell>
          <cell r="C37" t="str">
            <v>Abertamy (okres Karlovy Vary)</v>
          </cell>
          <cell r="D37" t="str">
            <v>Abertamy (okres Karlovy Vary)</v>
          </cell>
          <cell r="E37">
            <v>924</v>
          </cell>
          <cell r="F37">
            <v>939</v>
          </cell>
          <cell r="G37">
            <v>848</v>
          </cell>
          <cell r="H37">
            <v>896</v>
          </cell>
          <cell r="I37">
            <v>975</v>
          </cell>
          <cell r="J37">
            <v>866</v>
          </cell>
          <cell r="K37">
            <v>1132</v>
          </cell>
          <cell r="L37">
            <v>1135</v>
          </cell>
          <cell r="M37">
            <v>1138</v>
          </cell>
          <cell r="N37">
            <v>1141</v>
          </cell>
          <cell r="O37">
            <v>1140</v>
          </cell>
          <cell r="P37">
            <v>1016</v>
          </cell>
          <cell r="Q37">
            <v>1158</v>
          </cell>
          <cell r="R37">
            <v>1139</v>
          </cell>
          <cell r="S37">
            <v>1050</v>
          </cell>
          <cell r="T37">
            <v>1094</v>
          </cell>
          <cell r="U37">
            <v>1118</v>
          </cell>
          <cell r="V37">
            <v>1191</v>
          </cell>
          <cell r="W37">
            <v>1236</v>
          </cell>
          <cell r="X37">
            <v>1273</v>
          </cell>
          <cell r="Y37">
            <v>1323</v>
          </cell>
          <cell r="Z37">
            <v>1339</v>
          </cell>
          <cell r="AA37">
            <v>1449</v>
          </cell>
          <cell r="AB37">
            <v>1447</v>
          </cell>
          <cell r="AC37">
            <v>1418</v>
          </cell>
          <cell r="AD37">
            <v>1425</v>
          </cell>
          <cell r="AE37">
            <v>1413</v>
          </cell>
          <cell r="AF37">
            <v>1315</v>
          </cell>
          <cell r="AG37">
            <v>1315</v>
          </cell>
          <cell r="AH37">
            <v>1239</v>
          </cell>
          <cell r="AI37">
            <v>1146</v>
          </cell>
          <cell r="AJ37">
            <v>3310</v>
          </cell>
          <cell r="AK37">
            <v>3605</v>
          </cell>
          <cell r="AL37">
            <v>3644</v>
          </cell>
          <cell r="AM37">
            <v>4010</v>
          </cell>
          <cell r="AN37">
            <v>4293</v>
          </cell>
          <cell r="AO37">
            <v>3512</v>
          </cell>
          <cell r="AP37">
            <v>3824</v>
          </cell>
          <cell r="AQ37">
            <v>2261</v>
          </cell>
          <cell r="AR37">
            <v>1715</v>
          </cell>
          <cell r="AS37">
            <v>1145</v>
          </cell>
          <cell r="AT37">
            <v>1156</v>
          </cell>
          <cell r="AU37">
            <v>1052</v>
          </cell>
          <cell r="AV37">
            <v>831</v>
          </cell>
          <cell r="AW37">
            <v>817</v>
          </cell>
        </row>
        <row r="38">
          <cell r="B38">
            <v>538001</v>
          </cell>
          <cell r="C38" t="str">
            <v>Andělská Hora (okres Karlovy Vary)</v>
          </cell>
          <cell r="D38" t="str">
            <v>Andělská Hora (okres Karlovy Vary)</v>
          </cell>
          <cell r="E38">
            <v>376</v>
          </cell>
          <cell r="F38">
            <v>370</v>
          </cell>
          <cell r="G38">
            <v>398</v>
          </cell>
          <cell r="H38">
            <v>406</v>
          </cell>
          <cell r="I38">
            <v>372</v>
          </cell>
          <cell r="J38">
            <v>382</v>
          </cell>
          <cell r="K38">
            <v>187</v>
          </cell>
          <cell r="L38">
            <v>185</v>
          </cell>
          <cell r="M38">
            <v>182</v>
          </cell>
          <cell r="N38">
            <v>177</v>
          </cell>
          <cell r="O38">
            <v>170</v>
          </cell>
          <cell r="P38">
            <v>360</v>
          </cell>
          <cell r="Q38">
            <v>174</v>
          </cell>
          <cell r="R38">
            <v>146</v>
          </cell>
          <cell r="S38">
            <v>354</v>
          </cell>
          <cell r="T38">
            <v>333</v>
          </cell>
          <cell r="U38">
            <v>316</v>
          </cell>
          <cell r="V38">
            <v>312</v>
          </cell>
          <cell r="W38">
            <v>294</v>
          </cell>
          <cell r="X38">
            <v>284</v>
          </cell>
          <cell r="Y38">
            <v>260</v>
          </cell>
          <cell r="Z38">
            <v>249</v>
          </cell>
          <cell r="AA38">
            <v>250</v>
          </cell>
          <cell r="AB38">
            <v>241</v>
          </cell>
          <cell r="AC38">
            <v>234</v>
          </cell>
          <cell r="AD38">
            <v>224</v>
          </cell>
          <cell r="AE38">
            <v>208</v>
          </cell>
          <cell r="AF38">
            <v>203</v>
          </cell>
          <cell r="AG38">
            <v>191</v>
          </cell>
          <cell r="AH38">
            <v>193</v>
          </cell>
          <cell r="AI38">
            <v>186</v>
          </cell>
          <cell r="AJ38">
            <v>1002</v>
          </cell>
          <cell r="AK38">
            <v>935</v>
          </cell>
          <cell r="AL38">
            <v>974</v>
          </cell>
          <cell r="AM38">
            <v>953</v>
          </cell>
          <cell r="AN38">
            <v>901</v>
          </cell>
          <cell r="AO38">
            <v>777</v>
          </cell>
          <cell r="AP38">
            <v>792</v>
          </cell>
          <cell r="AQ38">
            <v>221</v>
          </cell>
          <cell r="AR38">
            <v>287</v>
          </cell>
          <cell r="AS38">
            <v>229</v>
          </cell>
          <cell r="AT38">
            <v>215</v>
          </cell>
          <cell r="AU38">
            <v>165</v>
          </cell>
          <cell r="AV38">
            <v>402</v>
          </cell>
          <cell r="AW38">
            <v>408</v>
          </cell>
        </row>
        <row r="39">
          <cell r="B39">
            <v>554499</v>
          </cell>
          <cell r="C39" t="str">
            <v>Aš (okres Cheb)</v>
          </cell>
          <cell r="D39" t="str">
            <v>Aš (okres Cheb)</v>
          </cell>
          <cell r="E39">
            <v>13105</v>
          </cell>
          <cell r="F39">
            <v>13182</v>
          </cell>
          <cell r="G39">
            <v>12783</v>
          </cell>
          <cell r="H39">
            <v>12804</v>
          </cell>
          <cell r="I39">
            <v>13210</v>
          </cell>
          <cell r="J39">
            <v>12483</v>
          </cell>
          <cell r="K39">
            <v>12264</v>
          </cell>
          <cell r="L39">
            <v>12285</v>
          </cell>
          <cell r="M39">
            <v>12302</v>
          </cell>
          <cell r="N39">
            <v>12340</v>
          </cell>
          <cell r="O39">
            <v>12377</v>
          </cell>
          <cell r="P39">
            <v>13245</v>
          </cell>
          <cell r="Q39">
            <v>12486</v>
          </cell>
          <cell r="R39">
            <v>12516</v>
          </cell>
          <cell r="S39">
            <v>13227</v>
          </cell>
          <cell r="T39">
            <v>13190</v>
          </cell>
          <cell r="U39">
            <v>13204</v>
          </cell>
          <cell r="V39">
            <v>13163</v>
          </cell>
          <cell r="W39">
            <v>13076</v>
          </cell>
          <cell r="X39">
            <v>13054</v>
          </cell>
          <cell r="Y39">
            <v>13413</v>
          </cell>
          <cell r="Z39">
            <v>13412</v>
          </cell>
          <cell r="AA39">
            <v>13373</v>
          </cell>
          <cell r="AB39">
            <v>13261</v>
          </cell>
          <cell r="AC39">
            <v>12957</v>
          </cell>
          <cell r="AD39">
            <v>12840</v>
          </cell>
          <cell r="AE39">
            <v>12814</v>
          </cell>
          <cell r="AF39">
            <v>12866</v>
          </cell>
          <cell r="AG39">
            <v>12676</v>
          </cell>
          <cell r="AH39">
            <v>12582</v>
          </cell>
          <cell r="AI39">
            <v>12260</v>
          </cell>
          <cell r="AJ39">
            <v>13888</v>
          </cell>
          <cell r="AK39">
            <v>17589</v>
          </cell>
          <cell r="AL39">
            <v>19885</v>
          </cell>
          <cell r="AM39">
            <v>23737</v>
          </cell>
          <cell r="AN39">
            <v>27772</v>
          </cell>
          <cell r="AO39">
            <v>24618</v>
          </cell>
          <cell r="AP39">
            <v>28916</v>
          </cell>
          <cell r="AQ39">
            <v>12484</v>
          </cell>
          <cell r="AR39">
            <v>11209</v>
          </cell>
          <cell r="AS39">
            <v>12843</v>
          </cell>
          <cell r="AT39">
            <v>12925</v>
          </cell>
          <cell r="AU39">
            <v>12285</v>
          </cell>
          <cell r="AV39">
            <v>12684</v>
          </cell>
          <cell r="AW39">
            <v>12683</v>
          </cell>
        </row>
        <row r="40">
          <cell r="B40">
            <v>554995</v>
          </cell>
          <cell r="C40" t="str">
            <v>Bečov nad Teplou (okres Karlovy Vary)</v>
          </cell>
          <cell r="D40" t="str">
            <v>Bečov nad Teplou (okres Karlovy Vary)</v>
          </cell>
          <cell r="E40">
            <v>954</v>
          </cell>
          <cell r="F40">
            <v>942</v>
          </cell>
          <cell r="G40">
            <v>919</v>
          </cell>
          <cell r="H40">
            <v>935</v>
          </cell>
          <cell r="I40">
            <v>934</v>
          </cell>
          <cell r="J40">
            <v>918</v>
          </cell>
          <cell r="K40">
            <v>997</v>
          </cell>
          <cell r="L40">
            <v>1012</v>
          </cell>
          <cell r="M40">
            <v>1006</v>
          </cell>
          <cell r="N40">
            <v>1027</v>
          </cell>
          <cell r="O40">
            <v>1045</v>
          </cell>
          <cell r="P40">
            <v>933</v>
          </cell>
          <cell r="Q40">
            <v>1043</v>
          </cell>
          <cell r="R40">
            <v>1056</v>
          </cell>
          <cell r="S40">
            <v>950</v>
          </cell>
          <cell r="T40">
            <v>942</v>
          </cell>
          <cell r="U40">
            <v>954</v>
          </cell>
          <cell r="V40">
            <v>955</v>
          </cell>
          <cell r="W40">
            <v>965</v>
          </cell>
          <cell r="X40">
            <v>988</v>
          </cell>
          <cell r="Y40">
            <v>1021</v>
          </cell>
          <cell r="Z40">
            <v>1003</v>
          </cell>
          <cell r="AA40">
            <v>986</v>
          </cell>
          <cell r="AB40">
            <v>989</v>
          </cell>
          <cell r="AC40">
            <v>989</v>
          </cell>
          <cell r="AD40">
            <v>984</v>
          </cell>
          <cell r="AE40">
            <v>973</v>
          </cell>
          <cell r="AF40">
            <v>976</v>
          </cell>
          <cell r="AG40">
            <v>988</v>
          </cell>
          <cell r="AH40">
            <v>990</v>
          </cell>
          <cell r="AI40">
            <v>998</v>
          </cell>
          <cell r="AJ40">
            <v>2905</v>
          </cell>
          <cell r="AK40">
            <v>2828</v>
          </cell>
          <cell r="AL40">
            <v>2729</v>
          </cell>
          <cell r="AM40">
            <v>2868</v>
          </cell>
          <cell r="AN40">
            <v>2809</v>
          </cell>
          <cell r="AO40">
            <v>2760</v>
          </cell>
          <cell r="AP40">
            <v>2853</v>
          </cell>
          <cell r="AQ40">
            <v>1238</v>
          </cell>
          <cell r="AR40">
            <v>1512</v>
          </cell>
          <cell r="AS40">
            <v>1250</v>
          </cell>
          <cell r="AT40">
            <v>1138</v>
          </cell>
          <cell r="AU40">
            <v>1086</v>
          </cell>
          <cell r="AV40">
            <v>903</v>
          </cell>
          <cell r="AW40">
            <v>911</v>
          </cell>
        </row>
        <row r="41">
          <cell r="B41">
            <v>555029</v>
          </cell>
          <cell r="C41" t="str">
            <v>Bochov (okres Karlovy Vary)</v>
          </cell>
          <cell r="D41" t="str">
            <v>Bochov (okres Karlovy Vary)</v>
          </cell>
          <cell r="E41">
            <v>1945</v>
          </cell>
          <cell r="F41">
            <v>1983</v>
          </cell>
          <cell r="G41">
            <v>1897</v>
          </cell>
          <cell r="H41">
            <v>1909</v>
          </cell>
          <cell r="I41">
            <v>1980</v>
          </cell>
          <cell r="J41">
            <v>1908</v>
          </cell>
          <cell r="K41">
            <v>1937</v>
          </cell>
          <cell r="L41">
            <v>1906</v>
          </cell>
          <cell r="M41">
            <v>1893</v>
          </cell>
          <cell r="N41">
            <v>1854</v>
          </cell>
          <cell r="O41">
            <v>1863</v>
          </cell>
          <cell r="P41">
            <v>1989</v>
          </cell>
          <cell r="Q41">
            <v>1854</v>
          </cell>
          <cell r="R41">
            <v>1823</v>
          </cell>
          <cell r="S41">
            <v>2042</v>
          </cell>
          <cell r="T41">
            <v>2023</v>
          </cell>
          <cell r="U41">
            <v>2015</v>
          </cell>
          <cell r="V41">
            <v>2002</v>
          </cell>
          <cell r="W41">
            <v>2034</v>
          </cell>
          <cell r="X41">
            <v>2070</v>
          </cell>
          <cell r="Y41">
            <v>2070</v>
          </cell>
          <cell r="Z41">
            <v>2060</v>
          </cell>
          <cell r="AA41">
            <v>2036</v>
          </cell>
          <cell r="AB41">
            <v>2031</v>
          </cell>
          <cell r="AC41">
            <v>1978</v>
          </cell>
          <cell r="AD41">
            <v>1973</v>
          </cell>
          <cell r="AE41">
            <v>1986</v>
          </cell>
          <cell r="AF41">
            <v>1973</v>
          </cell>
          <cell r="AG41">
            <v>1965</v>
          </cell>
          <cell r="AH41">
            <v>1959</v>
          </cell>
          <cell r="AI41">
            <v>1941</v>
          </cell>
          <cell r="AJ41">
            <v>7243</v>
          </cell>
          <cell r="AK41">
            <v>7184</v>
          </cell>
          <cell r="AL41">
            <v>7091</v>
          </cell>
          <cell r="AM41">
            <v>7005</v>
          </cell>
          <cell r="AN41">
            <v>6864</v>
          </cell>
          <cell r="AO41">
            <v>6487</v>
          </cell>
          <cell r="AP41">
            <v>6328</v>
          </cell>
          <cell r="AQ41">
            <v>2304</v>
          </cell>
          <cell r="AR41">
            <v>2079</v>
          </cell>
          <cell r="AS41">
            <v>2166</v>
          </cell>
          <cell r="AT41">
            <v>1937</v>
          </cell>
          <cell r="AU41">
            <v>1760</v>
          </cell>
          <cell r="AV41">
            <v>1874</v>
          </cell>
          <cell r="AW41">
            <v>1876</v>
          </cell>
        </row>
        <row r="42">
          <cell r="B42">
            <v>506486</v>
          </cell>
          <cell r="C42" t="str">
            <v>Boží Dar (okres Karlovy Vary)</v>
          </cell>
          <cell r="D42" t="str">
            <v>Boží Dar (okres Karlovy Vary)</v>
          </cell>
          <cell r="E42">
            <v>251</v>
          </cell>
          <cell r="F42">
            <v>250</v>
          </cell>
          <cell r="G42">
            <v>263</v>
          </cell>
          <cell r="H42">
            <v>350</v>
          </cell>
          <cell r="I42">
            <v>253</v>
          </cell>
          <cell r="J42">
            <v>227</v>
          </cell>
          <cell r="K42">
            <v>117</v>
          </cell>
          <cell r="L42">
            <v>113</v>
          </cell>
          <cell r="M42">
            <v>118</v>
          </cell>
          <cell r="N42">
            <v>112</v>
          </cell>
          <cell r="O42">
            <v>110</v>
          </cell>
          <cell r="P42">
            <v>244</v>
          </cell>
          <cell r="Q42">
            <v>116</v>
          </cell>
          <cell r="R42">
            <v>113</v>
          </cell>
          <cell r="S42">
            <v>232</v>
          </cell>
          <cell r="T42">
            <v>236</v>
          </cell>
          <cell r="U42">
            <v>216</v>
          </cell>
          <cell r="V42">
            <v>211</v>
          </cell>
          <cell r="W42">
            <v>211</v>
          </cell>
          <cell r="X42">
            <v>204</v>
          </cell>
          <cell r="Y42">
            <v>182</v>
          </cell>
          <cell r="Z42">
            <v>188</v>
          </cell>
          <cell r="AA42">
            <v>193</v>
          </cell>
          <cell r="AB42">
            <v>187</v>
          </cell>
          <cell r="AC42">
            <v>175</v>
          </cell>
          <cell r="AD42">
            <v>176</v>
          </cell>
          <cell r="AE42">
            <v>185</v>
          </cell>
          <cell r="AF42">
            <v>177</v>
          </cell>
          <cell r="AG42">
            <v>172</v>
          </cell>
          <cell r="AH42">
            <v>177</v>
          </cell>
          <cell r="AI42">
            <v>123</v>
          </cell>
          <cell r="AJ42">
            <v>2194</v>
          </cell>
          <cell r="AK42">
            <v>2290</v>
          </cell>
          <cell r="AL42">
            <v>2269</v>
          </cell>
          <cell r="AM42">
            <v>2224</v>
          </cell>
          <cell r="AN42">
            <v>2392</v>
          </cell>
          <cell r="AO42">
            <v>1913</v>
          </cell>
          <cell r="AP42">
            <v>1914</v>
          </cell>
          <cell r="AQ42">
            <v>910</v>
          </cell>
          <cell r="AR42">
            <v>341</v>
          </cell>
          <cell r="AS42">
            <v>152</v>
          </cell>
          <cell r="AT42">
            <v>128</v>
          </cell>
          <cell r="AU42">
            <v>111</v>
          </cell>
          <cell r="AV42">
            <v>255</v>
          </cell>
          <cell r="AW42">
            <v>250</v>
          </cell>
        </row>
        <row r="43">
          <cell r="B43">
            <v>555045</v>
          </cell>
          <cell r="C43" t="str">
            <v>Božičany (okres Karlovy Vary)</v>
          </cell>
          <cell r="D43" t="str">
            <v>Božičany (okres Karlovy Vary)</v>
          </cell>
          <cell r="E43">
            <v>612</v>
          </cell>
          <cell r="F43">
            <v>630</v>
          </cell>
          <cell r="G43">
            <v>641</v>
          </cell>
          <cell r="H43">
            <v>676</v>
          </cell>
          <cell r="I43">
            <v>636</v>
          </cell>
          <cell r="J43">
            <v>603</v>
          </cell>
          <cell r="K43">
            <v>607</v>
          </cell>
          <cell r="L43">
            <v>592</v>
          </cell>
          <cell r="M43">
            <v>569</v>
          </cell>
          <cell r="N43">
            <v>563</v>
          </cell>
          <cell r="O43">
            <v>574</v>
          </cell>
          <cell r="P43">
            <v>641</v>
          </cell>
          <cell r="Q43">
            <v>585</v>
          </cell>
          <cell r="R43">
            <v>583</v>
          </cell>
          <cell r="S43">
            <v>603</v>
          </cell>
          <cell r="T43">
            <v>604</v>
          </cell>
          <cell r="U43">
            <v>605</v>
          </cell>
          <cell r="V43">
            <v>611</v>
          </cell>
          <cell r="W43">
            <v>637</v>
          </cell>
          <cell r="X43">
            <v>626</v>
          </cell>
          <cell r="Y43">
            <v>619</v>
          </cell>
          <cell r="Z43">
            <v>616</v>
          </cell>
          <cell r="AA43">
            <v>612</v>
          </cell>
          <cell r="AB43">
            <v>615</v>
          </cell>
          <cell r="AC43">
            <v>615</v>
          </cell>
          <cell r="AD43">
            <v>621</v>
          </cell>
          <cell r="AE43">
            <v>615</v>
          </cell>
          <cell r="AF43">
            <v>623</v>
          </cell>
          <cell r="AG43">
            <v>619</v>
          </cell>
          <cell r="AH43">
            <v>628</v>
          </cell>
          <cell r="AI43">
            <v>631</v>
          </cell>
          <cell r="AJ43">
            <v>370</v>
          </cell>
          <cell r="AK43">
            <v>412</v>
          </cell>
          <cell r="AL43">
            <v>469</v>
          </cell>
          <cell r="AM43">
            <v>991</v>
          </cell>
          <cell r="AN43">
            <v>1180</v>
          </cell>
          <cell r="AO43">
            <v>1062</v>
          </cell>
          <cell r="AP43">
            <v>1219</v>
          </cell>
          <cell r="AQ43">
            <v>800</v>
          </cell>
          <cell r="AR43">
            <v>654</v>
          </cell>
          <cell r="AS43">
            <v>590</v>
          </cell>
          <cell r="AT43">
            <v>650</v>
          </cell>
          <cell r="AU43">
            <v>569</v>
          </cell>
          <cell r="AV43">
            <v>588</v>
          </cell>
          <cell r="AW43">
            <v>589</v>
          </cell>
        </row>
        <row r="44">
          <cell r="B44">
            <v>500101</v>
          </cell>
          <cell r="C44" t="str">
            <v>Bražec (okres Karlovy Vary)</v>
          </cell>
          <cell r="D44" t="str">
            <v>Bražec (okres Karlovy Vary)</v>
          </cell>
          <cell r="E44">
            <v>227</v>
          </cell>
          <cell r="F44">
            <v>221</v>
          </cell>
          <cell r="G44">
            <v>245</v>
          </cell>
          <cell r="H44">
            <v>253</v>
          </cell>
          <cell r="I44">
            <v>220</v>
          </cell>
          <cell r="J44">
            <v>221</v>
          </cell>
          <cell r="K44"/>
          <cell r="L44"/>
          <cell r="M44"/>
          <cell r="N44"/>
          <cell r="O44"/>
          <cell r="P44">
            <v>221</v>
          </cell>
          <cell r="Q44"/>
          <cell r="R44"/>
          <cell r="S44">
            <v>221</v>
          </cell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>
            <v>778</v>
          </cell>
          <cell r="AK44">
            <v>851</v>
          </cell>
          <cell r="AL44">
            <v>753</v>
          </cell>
          <cell r="AM44">
            <v>779</v>
          </cell>
          <cell r="AN44">
            <v>840</v>
          </cell>
          <cell r="AO44">
            <v>771</v>
          </cell>
          <cell r="AP44">
            <v>687</v>
          </cell>
          <cell r="AQ44">
            <v>233</v>
          </cell>
          <cell r="AR44"/>
          <cell r="AS44"/>
          <cell r="AT44"/>
          <cell r="AU44"/>
          <cell r="AV44">
            <v>263</v>
          </cell>
          <cell r="AW44">
            <v>264</v>
          </cell>
        </row>
        <row r="45">
          <cell r="B45">
            <v>537870</v>
          </cell>
          <cell r="C45" t="str">
            <v>Březová (okres Karlovy Vary)</v>
          </cell>
          <cell r="D45" t="str">
            <v>Březová (okres Karlovy Vary)</v>
          </cell>
          <cell r="E45">
            <v>543</v>
          </cell>
          <cell r="F45">
            <v>546</v>
          </cell>
          <cell r="G45">
            <v>694</v>
          </cell>
          <cell r="H45">
            <v>662</v>
          </cell>
          <cell r="I45">
            <v>529</v>
          </cell>
          <cell r="J45">
            <v>554</v>
          </cell>
          <cell r="K45">
            <v>522</v>
          </cell>
          <cell r="L45">
            <v>530</v>
          </cell>
          <cell r="M45">
            <v>532</v>
          </cell>
          <cell r="N45">
            <v>530</v>
          </cell>
          <cell r="O45">
            <v>539</v>
          </cell>
          <cell r="P45">
            <v>538</v>
          </cell>
          <cell r="Q45">
            <v>541</v>
          </cell>
          <cell r="R45">
            <v>543</v>
          </cell>
          <cell r="S45">
            <v>541</v>
          </cell>
          <cell r="T45">
            <v>538</v>
          </cell>
          <cell r="U45">
            <v>534</v>
          </cell>
          <cell r="V45">
            <v>532</v>
          </cell>
          <cell r="W45">
            <v>546</v>
          </cell>
          <cell r="X45">
            <v>540</v>
          </cell>
          <cell r="Y45">
            <v>569</v>
          </cell>
          <cell r="Z45">
            <v>556</v>
          </cell>
          <cell r="AA45">
            <v>561</v>
          </cell>
          <cell r="AB45">
            <v>551</v>
          </cell>
          <cell r="AC45">
            <v>543</v>
          </cell>
          <cell r="AD45">
            <v>549</v>
          </cell>
          <cell r="AE45">
            <v>552</v>
          </cell>
          <cell r="AF45">
            <v>531</v>
          </cell>
          <cell r="AG45">
            <v>530</v>
          </cell>
          <cell r="AH45">
            <v>546</v>
          </cell>
          <cell r="AI45">
            <v>524</v>
          </cell>
          <cell r="AJ45" t="str">
            <v>1 287</v>
          </cell>
          <cell r="AK45" t="str">
            <v>1 378</v>
          </cell>
          <cell r="AL45" t="str">
            <v>1 461</v>
          </cell>
          <cell r="AM45" t="str">
            <v>1 639</v>
          </cell>
          <cell r="AN45" t="str">
            <v>1 807</v>
          </cell>
          <cell r="AO45" t="str">
            <v>1 519</v>
          </cell>
          <cell r="AP45" t="str">
            <v>1 726</v>
          </cell>
          <cell r="AQ45">
            <v>627</v>
          </cell>
          <cell r="AR45">
            <v>715</v>
          </cell>
          <cell r="AS45">
            <v>589</v>
          </cell>
          <cell r="AT45">
            <v>549</v>
          </cell>
          <cell r="AU45">
            <v>549</v>
          </cell>
          <cell r="AV45">
            <v>719</v>
          </cell>
          <cell r="AW45">
            <v>714</v>
          </cell>
        </row>
        <row r="46">
          <cell r="B46">
            <v>560294</v>
          </cell>
          <cell r="C46" t="str">
            <v>Březová (okres Sokolov)</v>
          </cell>
          <cell r="D46" t="str">
            <v>Březová (okres Sokolov)</v>
          </cell>
          <cell r="E46">
            <v>2660</v>
          </cell>
          <cell r="F46">
            <v>2699</v>
          </cell>
          <cell r="G46">
            <v>2604</v>
          </cell>
          <cell r="H46">
            <v>2638</v>
          </cell>
          <cell r="I46">
            <v>2725</v>
          </cell>
          <cell r="J46">
            <v>2616</v>
          </cell>
          <cell r="K46">
            <v>2774</v>
          </cell>
          <cell r="L46">
            <v>2778</v>
          </cell>
          <cell r="M46">
            <v>2793</v>
          </cell>
          <cell r="N46">
            <v>2784</v>
          </cell>
          <cell r="O46">
            <v>2805</v>
          </cell>
          <cell r="P46">
            <v>2734</v>
          </cell>
          <cell r="Q46">
            <v>2803</v>
          </cell>
          <cell r="R46">
            <v>2798</v>
          </cell>
          <cell r="S46">
            <v>2744</v>
          </cell>
          <cell r="T46">
            <v>2727</v>
          </cell>
          <cell r="U46">
            <v>2702</v>
          </cell>
          <cell r="V46">
            <v>2704</v>
          </cell>
          <cell r="W46">
            <v>2728</v>
          </cell>
          <cell r="X46">
            <v>2715</v>
          </cell>
          <cell r="Y46">
            <v>2746</v>
          </cell>
          <cell r="Z46">
            <v>2741</v>
          </cell>
          <cell r="AA46">
            <v>2741</v>
          </cell>
          <cell r="AB46">
            <v>2729</v>
          </cell>
          <cell r="AC46">
            <v>2764</v>
          </cell>
          <cell r="AD46">
            <v>2758</v>
          </cell>
          <cell r="AE46">
            <v>2775</v>
          </cell>
          <cell r="AF46">
            <v>2826</v>
          </cell>
          <cell r="AG46">
            <v>2775</v>
          </cell>
          <cell r="AH46">
            <v>2665</v>
          </cell>
          <cell r="AI46">
            <v>2779</v>
          </cell>
          <cell r="AJ46">
            <v>4986</v>
          </cell>
          <cell r="AK46">
            <v>4966</v>
          </cell>
          <cell r="AL46">
            <v>4720</v>
          </cell>
          <cell r="AM46">
            <v>4688</v>
          </cell>
          <cell r="AN46">
            <v>4876</v>
          </cell>
          <cell r="AO46">
            <v>4864</v>
          </cell>
          <cell r="AP46">
            <v>5119</v>
          </cell>
          <cell r="AQ46">
            <v>1292</v>
          </cell>
          <cell r="AR46">
            <v>3575</v>
          </cell>
          <cell r="AS46">
            <v>3307</v>
          </cell>
          <cell r="AT46">
            <v>3096</v>
          </cell>
          <cell r="AU46">
            <v>2717</v>
          </cell>
          <cell r="AV46">
            <v>2664</v>
          </cell>
          <cell r="AW46">
            <v>2640</v>
          </cell>
        </row>
        <row r="47">
          <cell r="B47">
            <v>560308</v>
          </cell>
          <cell r="C47" t="str">
            <v>Bublava (okres Sokolov)</v>
          </cell>
          <cell r="D47" t="str">
            <v>Bublava (okres Sokolov)</v>
          </cell>
          <cell r="E47">
            <v>395</v>
          </cell>
          <cell r="F47">
            <v>403</v>
          </cell>
          <cell r="G47">
            <v>403</v>
          </cell>
          <cell r="H47">
            <v>403</v>
          </cell>
          <cell r="I47">
            <v>404</v>
          </cell>
          <cell r="J47">
            <v>386</v>
          </cell>
          <cell r="K47">
            <v>333</v>
          </cell>
          <cell r="L47">
            <v>346</v>
          </cell>
          <cell r="M47">
            <v>335</v>
          </cell>
          <cell r="N47">
            <v>337</v>
          </cell>
          <cell r="O47">
            <v>327</v>
          </cell>
          <cell r="P47">
            <v>401</v>
          </cell>
          <cell r="Q47">
            <v>317</v>
          </cell>
          <cell r="R47">
            <v>302</v>
          </cell>
          <cell r="S47">
            <v>393</v>
          </cell>
          <cell r="T47">
            <v>392</v>
          </cell>
          <cell r="U47">
            <v>406</v>
          </cell>
          <cell r="V47">
            <v>374</v>
          </cell>
          <cell r="W47">
            <v>375</v>
          </cell>
          <cell r="X47">
            <v>378</v>
          </cell>
          <cell r="Y47">
            <v>359</v>
          </cell>
          <cell r="Z47">
            <v>323</v>
          </cell>
          <cell r="AA47">
            <v>339</v>
          </cell>
          <cell r="AB47">
            <v>301</v>
          </cell>
          <cell r="AC47">
            <v>300</v>
          </cell>
          <cell r="AD47">
            <v>309</v>
          </cell>
          <cell r="AE47">
            <v>327</v>
          </cell>
          <cell r="AF47">
            <v>334</v>
          </cell>
          <cell r="AG47">
            <v>332</v>
          </cell>
          <cell r="AH47">
            <v>330</v>
          </cell>
          <cell r="AI47">
            <v>341</v>
          </cell>
          <cell r="AJ47">
            <v>2410</v>
          </cell>
          <cell r="AK47">
            <v>2692</v>
          </cell>
          <cell r="AL47">
            <v>3194</v>
          </cell>
          <cell r="AM47">
            <v>3447</v>
          </cell>
          <cell r="AN47">
            <v>3914</v>
          </cell>
          <cell r="AO47">
            <v>3695</v>
          </cell>
          <cell r="AP47">
            <v>4106</v>
          </cell>
          <cell r="AQ47">
            <v>675</v>
          </cell>
          <cell r="AR47">
            <v>668</v>
          </cell>
          <cell r="AS47">
            <v>533</v>
          </cell>
          <cell r="AT47">
            <v>363</v>
          </cell>
          <cell r="AU47">
            <v>260</v>
          </cell>
          <cell r="AV47">
            <v>406</v>
          </cell>
          <cell r="AW47">
            <v>409</v>
          </cell>
        </row>
        <row r="48">
          <cell r="B48">
            <v>560316</v>
          </cell>
          <cell r="C48" t="str">
            <v>Bukovany (okres Sokolov)</v>
          </cell>
          <cell r="D48" t="str">
            <v>Bukovany (okres Sokolov)</v>
          </cell>
          <cell r="E48">
            <v>1526</v>
          </cell>
          <cell r="F48">
            <v>1550</v>
          </cell>
          <cell r="G48">
            <v>1528</v>
          </cell>
          <cell r="H48">
            <v>1530</v>
          </cell>
          <cell r="I48">
            <v>1528</v>
          </cell>
          <cell r="J48">
            <v>1552</v>
          </cell>
          <cell r="K48">
            <v>1889</v>
          </cell>
          <cell r="L48">
            <v>1920</v>
          </cell>
          <cell r="M48">
            <v>1909</v>
          </cell>
          <cell r="N48">
            <v>1921</v>
          </cell>
          <cell r="O48">
            <v>1885</v>
          </cell>
          <cell r="P48">
            <v>1542</v>
          </cell>
          <cell r="Q48">
            <v>1854</v>
          </cell>
          <cell r="R48">
            <v>1838</v>
          </cell>
          <cell r="S48">
            <v>1535</v>
          </cell>
          <cell r="T48">
            <v>1521</v>
          </cell>
          <cell r="U48">
            <v>1568</v>
          </cell>
          <cell r="V48">
            <v>1576</v>
          </cell>
          <cell r="W48">
            <v>1612</v>
          </cell>
          <cell r="X48">
            <v>1616</v>
          </cell>
          <cell r="Y48">
            <v>1680</v>
          </cell>
          <cell r="Z48">
            <v>1706</v>
          </cell>
          <cell r="AA48">
            <v>1706</v>
          </cell>
          <cell r="AB48">
            <v>1725</v>
          </cell>
          <cell r="AC48">
            <v>1760</v>
          </cell>
          <cell r="AD48">
            <v>1787</v>
          </cell>
          <cell r="AE48">
            <v>1798</v>
          </cell>
          <cell r="AF48">
            <v>1808</v>
          </cell>
          <cell r="AG48">
            <v>1798</v>
          </cell>
          <cell r="AH48">
            <v>1818</v>
          </cell>
          <cell r="AI48">
            <v>1876</v>
          </cell>
          <cell r="AJ48">
            <v>542</v>
          </cell>
          <cell r="AK48">
            <v>635</v>
          </cell>
          <cell r="AL48">
            <v>754</v>
          </cell>
          <cell r="AM48">
            <v>1077</v>
          </cell>
          <cell r="AN48">
            <v>1661</v>
          </cell>
          <cell r="AO48">
            <v>1597</v>
          </cell>
          <cell r="AP48">
            <v>1612</v>
          </cell>
          <cell r="AQ48">
            <v>820</v>
          </cell>
          <cell r="AR48">
            <v>471</v>
          </cell>
          <cell r="AS48">
            <v>2082</v>
          </cell>
          <cell r="AT48">
            <v>2083</v>
          </cell>
          <cell r="AU48">
            <v>1808</v>
          </cell>
          <cell r="AV48">
            <v>1479</v>
          </cell>
          <cell r="AW48">
            <v>1476</v>
          </cell>
        </row>
        <row r="49">
          <cell r="B49">
            <v>560324</v>
          </cell>
          <cell r="C49" t="str">
            <v>Citice (okres Sokolov)</v>
          </cell>
          <cell r="D49" t="str">
            <v>Citice (okres Sokolov)</v>
          </cell>
          <cell r="E49">
            <v>900</v>
          </cell>
          <cell r="F49">
            <v>911</v>
          </cell>
          <cell r="G49">
            <v>871</v>
          </cell>
          <cell r="H49">
            <v>875</v>
          </cell>
          <cell r="I49">
            <v>922</v>
          </cell>
          <cell r="J49">
            <v>874</v>
          </cell>
          <cell r="K49">
            <v>875</v>
          </cell>
          <cell r="L49">
            <v>858</v>
          </cell>
          <cell r="M49">
            <v>856</v>
          </cell>
          <cell r="N49">
            <v>843</v>
          </cell>
          <cell r="O49">
            <v>843</v>
          </cell>
          <cell r="P49">
            <v>904</v>
          </cell>
          <cell r="Q49">
            <v>834</v>
          </cell>
          <cell r="R49">
            <v>832</v>
          </cell>
          <cell r="S49">
            <v>906</v>
          </cell>
          <cell r="T49">
            <v>900</v>
          </cell>
          <cell r="U49">
            <v>900</v>
          </cell>
          <cell r="V49">
            <v>913</v>
          </cell>
          <cell r="W49">
            <v>906</v>
          </cell>
          <cell r="X49">
            <v>889</v>
          </cell>
          <cell r="Y49">
            <v>899</v>
          </cell>
          <cell r="Z49">
            <v>884</v>
          </cell>
          <cell r="AA49">
            <v>881</v>
          </cell>
          <cell r="AB49">
            <v>895</v>
          </cell>
          <cell r="AC49">
            <v>882</v>
          </cell>
          <cell r="AD49">
            <v>880</v>
          </cell>
          <cell r="AE49">
            <v>876</v>
          </cell>
          <cell r="AF49">
            <v>880</v>
          </cell>
          <cell r="AG49">
            <v>854</v>
          </cell>
          <cell r="AH49">
            <v>851</v>
          </cell>
          <cell r="AI49">
            <v>857</v>
          </cell>
          <cell r="AJ49">
            <v>535</v>
          </cell>
          <cell r="AK49">
            <v>746</v>
          </cell>
          <cell r="AL49">
            <v>995</v>
          </cell>
          <cell r="AM49">
            <v>1436</v>
          </cell>
          <cell r="AN49">
            <v>1825</v>
          </cell>
          <cell r="AO49">
            <v>2036</v>
          </cell>
          <cell r="AP49">
            <v>2147</v>
          </cell>
          <cell r="AQ49">
            <v>1473</v>
          </cell>
          <cell r="AR49">
            <v>1177</v>
          </cell>
          <cell r="AS49">
            <v>1157</v>
          </cell>
          <cell r="AT49">
            <v>970</v>
          </cell>
          <cell r="AU49">
            <v>825</v>
          </cell>
          <cell r="AV49">
            <v>851</v>
          </cell>
          <cell r="AW49">
            <v>838</v>
          </cell>
        </row>
        <row r="50">
          <cell r="B50">
            <v>538019</v>
          </cell>
          <cell r="C50" t="str">
            <v>Černava (okres Karlovy Vary)</v>
          </cell>
          <cell r="D50" t="str">
            <v>Černava (okres Karlovy Vary)</v>
          </cell>
          <cell r="E50">
            <v>310</v>
          </cell>
          <cell r="F50">
            <v>307</v>
          </cell>
          <cell r="G50">
            <v>311</v>
          </cell>
          <cell r="H50">
            <v>309</v>
          </cell>
          <cell r="I50">
            <v>305</v>
          </cell>
          <cell r="J50">
            <v>302</v>
          </cell>
          <cell r="K50">
            <v>225</v>
          </cell>
          <cell r="L50">
            <v>217</v>
          </cell>
          <cell r="M50">
            <v>217</v>
          </cell>
          <cell r="N50">
            <v>210</v>
          </cell>
          <cell r="O50">
            <v>218</v>
          </cell>
          <cell r="P50">
            <v>306</v>
          </cell>
          <cell r="Q50">
            <v>214</v>
          </cell>
          <cell r="R50">
            <v>210</v>
          </cell>
          <cell r="S50">
            <v>307</v>
          </cell>
          <cell r="T50">
            <v>296</v>
          </cell>
          <cell r="U50">
            <v>299</v>
          </cell>
          <cell r="V50">
            <v>300</v>
          </cell>
          <cell r="W50">
            <v>306</v>
          </cell>
          <cell r="X50">
            <v>295</v>
          </cell>
          <cell r="Y50">
            <v>300</v>
          </cell>
          <cell r="Z50">
            <v>294</v>
          </cell>
          <cell r="AA50">
            <v>285</v>
          </cell>
          <cell r="AB50">
            <v>279</v>
          </cell>
          <cell r="AC50">
            <v>274</v>
          </cell>
          <cell r="AD50">
            <v>255</v>
          </cell>
          <cell r="AE50">
            <v>241</v>
          </cell>
          <cell r="AF50">
            <v>238</v>
          </cell>
          <cell r="AG50">
            <v>241</v>
          </cell>
          <cell r="AH50">
            <v>233</v>
          </cell>
          <cell r="AI50">
            <v>230</v>
          </cell>
          <cell r="AJ50">
            <v>1011</v>
          </cell>
          <cell r="AK50">
            <v>1097</v>
          </cell>
          <cell r="AL50">
            <v>1138</v>
          </cell>
          <cell r="AM50">
            <v>1162</v>
          </cell>
          <cell r="AN50">
            <v>1239</v>
          </cell>
          <cell r="AO50">
            <v>1179</v>
          </cell>
          <cell r="AP50">
            <v>1330</v>
          </cell>
          <cell r="AQ50">
            <v>318</v>
          </cell>
          <cell r="AR50">
            <v>333</v>
          </cell>
          <cell r="AS50">
            <v>251</v>
          </cell>
          <cell r="AT50">
            <v>214</v>
          </cell>
          <cell r="AU50">
            <v>182</v>
          </cell>
          <cell r="AV50">
            <v>308</v>
          </cell>
          <cell r="AW50">
            <v>308</v>
          </cell>
        </row>
        <row r="51">
          <cell r="B51">
            <v>506621</v>
          </cell>
          <cell r="C51" t="str">
            <v>Čichalov (okres Karlovy Vary)</v>
          </cell>
          <cell r="D51" t="str">
            <v>Čichalov (okres Karlovy Vary)</v>
          </cell>
          <cell r="E51">
            <v>173</v>
          </cell>
          <cell r="F51">
            <v>177</v>
          </cell>
          <cell r="G51">
            <v>178</v>
          </cell>
          <cell r="H51">
            <v>166</v>
          </cell>
          <cell r="I51">
            <v>171</v>
          </cell>
          <cell r="J51">
            <v>167</v>
          </cell>
          <cell r="K51">
            <v>148</v>
          </cell>
          <cell r="L51">
            <v>149</v>
          </cell>
          <cell r="M51">
            <v>146</v>
          </cell>
          <cell r="N51">
            <v>141</v>
          </cell>
          <cell r="O51">
            <v>138</v>
          </cell>
          <cell r="P51">
            <v>183</v>
          </cell>
          <cell r="Q51">
            <v>142</v>
          </cell>
          <cell r="R51">
            <v>153</v>
          </cell>
          <cell r="S51">
            <v>167</v>
          </cell>
          <cell r="T51">
            <v>157</v>
          </cell>
          <cell r="U51">
            <v>163</v>
          </cell>
          <cell r="V51">
            <v>157</v>
          </cell>
          <cell r="W51">
            <v>155</v>
          </cell>
          <cell r="X51">
            <v>147</v>
          </cell>
          <cell r="Y51">
            <v>161</v>
          </cell>
          <cell r="Z51">
            <v>155</v>
          </cell>
          <cell r="AA51">
            <v>150</v>
          </cell>
          <cell r="AB51">
            <v>153</v>
          </cell>
          <cell r="AC51">
            <v>136</v>
          </cell>
          <cell r="AD51">
            <v>147</v>
          </cell>
          <cell r="AE51">
            <v>153</v>
          </cell>
          <cell r="AF51">
            <v>153</v>
          </cell>
          <cell r="AG51">
            <v>151</v>
          </cell>
          <cell r="AH51">
            <v>161</v>
          </cell>
          <cell r="AI51">
            <v>142</v>
          </cell>
          <cell r="AJ51">
            <v>580</v>
          </cell>
          <cell r="AK51">
            <v>596</v>
          </cell>
          <cell r="AL51">
            <v>582</v>
          </cell>
          <cell r="AM51">
            <v>562</v>
          </cell>
          <cell r="AN51">
            <v>541</v>
          </cell>
          <cell r="AO51">
            <v>494</v>
          </cell>
          <cell r="AP51">
            <v>499</v>
          </cell>
          <cell r="AQ51">
            <v>292</v>
          </cell>
          <cell r="AR51">
            <v>238</v>
          </cell>
          <cell r="AS51">
            <v>305</v>
          </cell>
          <cell r="AT51">
            <v>224</v>
          </cell>
          <cell r="AU51">
            <v>175</v>
          </cell>
          <cell r="AV51">
            <v>164</v>
          </cell>
          <cell r="AW51">
            <v>158</v>
          </cell>
        </row>
        <row r="52">
          <cell r="B52">
            <v>537918</v>
          </cell>
          <cell r="C52" t="str">
            <v>Dalovice (okres Karlovy Vary)</v>
          </cell>
          <cell r="D52" t="str">
            <v>Dalovice (okres Karlovy Vary)</v>
          </cell>
          <cell r="E52">
            <v>1986</v>
          </cell>
          <cell r="F52">
            <v>1989</v>
          </cell>
          <cell r="G52">
            <v>1993</v>
          </cell>
          <cell r="H52">
            <v>2008</v>
          </cell>
          <cell r="I52">
            <v>2000</v>
          </cell>
          <cell r="J52">
            <v>1948</v>
          </cell>
          <cell r="K52">
            <v>1847</v>
          </cell>
          <cell r="L52">
            <v>1845</v>
          </cell>
          <cell r="M52">
            <v>1806</v>
          </cell>
          <cell r="N52">
            <v>1804</v>
          </cell>
          <cell r="O52">
            <v>1813</v>
          </cell>
          <cell r="P52">
            <v>1986</v>
          </cell>
          <cell r="Q52">
            <v>1829</v>
          </cell>
          <cell r="R52">
            <v>1832</v>
          </cell>
          <cell r="S52">
            <v>1982</v>
          </cell>
          <cell r="T52">
            <v>1989</v>
          </cell>
          <cell r="U52">
            <v>1986</v>
          </cell>
          <cell r="V52">
            <v>1951</v>
          </cell>
          <cell r="W52">
            <v>1910</v>
          </cell>
          <cell r="X52">
            <v>1900</v>
          </cell>
          <cell r="Y52">
            <v>1906</v>
          </cell>
          <cell r="Z52">
            <v>1893</v>
          </cell>
          <cell r="AA52">
            <v>1884</v>
          </cell>
          <cell r="AB52">
            <v>1849</v>
          </cell>
          <cell r="AC52">
            <v>1856</v>
          </cell>
          <cell r="AD52">
            <v>1875</v>
          </cell>
          <cell r="AE52">
            <v>1890</v>
          </cell>
          <cell r="AF52">
            <v>1880</v>
          </cell>
          <cell r="AG52">
            <v>1875</v>
          </cell>
          <cell r="AH52">
            <v>1832</v>
          </cell>
          <cell r="AI52">
            <v>1844</v>
          </cell>
          <cell r="AJ52">
            <v>1536</v>
          </cell>
          <cell r="AK52">
            <v>2028</v>
          </cell>
          <cell r="AL52">
            <v>2391</v>
          </cell>
          <cell r="AM52">
            <v>2949</v>
          </cell>
          <cell r="AN52">
            <v>3331</v>
          </cell>
          <cell r="AO52">
            <v>3276</v>
          </cell>
          <cell r="AP52">
            <v>3704</v>
          </cell>
          <cell r="AQ52">
            <v>1895</v>
          </cell>
          <cell r="AR52">
            <v>2125</v>
          </cell>
          <cell r="AS52">
            <v>1880</v>
          </cell>
          <cell r="AT52">
            <v>1895</v>
          </cell>
          <cell r="AU52">
            <v>1766</v>
          </cell>
          <cell r="AV52">
            <v>1964</v>
          </cell>
          <cell r="AW52">
            <v>1992</v>
          </cell>
        </row>
        <row r="53">
          <cell r="B53">
            <v>560332</v>
          </cell>
          <cell r="C53" t="str">
            <v>Dasnice (okres Sokolov)</v>
          </cell>
          <cell r="D53" t="str">
            <v>Dasnice (okres Sokolov)</v>
          </cell>
          <cell r="E53">
            <v>274</v>
          </cell>
          <cell r="F53">
            <v>277</v>
          </cell>
          <cell r="G53">
            <v>250</v>
          </cell>
          <cell r="H53">
            <v>261</v>
          </cell>
          <cell r="I53">
            <v>276</v>
          </cell>
          <cell r="J53">
            <v>274</v>
          </cell>
          <cell r="K53">
            <v>331</v>
          </cell>
          <cell r="L53">
            <v>334</v>
          </cell>
          <cell r="M53">
            <v>342</v>
          </cell>
          <cell r="N53">
            <v>337</v>
          </cell>
          <cell r="O53">
            <v>327</v>
          </cell>
          <cell r="P53">
            <v>278</v>
          </cell>
          <cell r="Q53">
            <v>323</v>
          </cell>
          <cell r="R53">
            <v>301</v>
          </cell>
          <cell r="S53">
            <v>287</v>
          </cell>
          <cell r="T53">
            <v>297</v>
          </cell>
          <cell r="U53">
            <v>307</v>
          </cell>
          <cell r="V53">
            <v>312</v>
          </cell>
          <cell r="W53">
            <v>318</v>
          </cell>
          <cell r="X53">
            <v>332</v>
          </cell>
          <cell r="Y53">
            <v>370</v>
          </cell>
          <cell r="Z53">
            <v>374</v>
          </cell>
          <cell r="AA53">
            <v>371</v>
          </cell>
          <cell r="AB53">
            <v>361</v>
          </cell>
          <cell r="AC53">
            <v>362</v>
          </cell>
          <cell r="AD53">
            <v>366</v>
          </cell>
          <cell r="AE53">
            <v>372</v>
          </cell>
          <cell r="AF53">
            <v>361</v>
          </cell>
          <cell r="AG53">
            <v>359</v>
          </cell>
          <cell r="AH53">
            <v>352</v>
          </cell>
          <cell r="AI53">
            <v>338</v>
          </cell>
          <cell r="AJ53">
            <v>309</v>
          </cell>
          <cell r="AK53">
            <v>273</v>
          </cell>
          <cell r="AL53">
            <v>312</v>
          </cell>
          <cell r="AM53">
            <v>396</v>
          </cell>
          <cell r="AN53">
            <v>437</v>
          </cell>
          <cell r="AO53">
            <v>442</v>
          </cell>
          <cell r="AP53">
            <v>473</v>
          </cell>
          <cell r="AQ53">
            <v>257</v>
          </cell>
          <cell r="AR53">
            <v>493</v>
          </cell>
          <cell r="AS53">
            <v>493</v>
          </cell>
          <cell r="AT53">
            <v>357</v>
          </cell>
          <cell r="AU53">
            <v>330</v>
          </cell>
          <cell r="AV53">
            <v>246</v>
          </cell>
          <cell r="AW53">
            <v>249</v>
          </cell>
        </row>
        <row r="54">
          <cell r="B54">
            <v>538116</v>
          </cell>
          <cell r="C54" t="str">
            <v>Děpoltovice (okres Karlovy Vary)</v>
          </cell>
          <cell r="D54" t="str">
            <v>Děpoltovice (okres Karlovy Vary)</v>
          </cell>
          <cell r="E54">
            <v>394</v>
          </cell>
          <cell r="F54">
            <v>385</v>
          </cell>
          <cell r="G54">
            <v>448</v>
          </cell>
          <cell r="H54">
            <v>415</v>
          </cell>
          <cell r="I54">
            <v>374</v>
          </cell>
          <cell r="J54">
            <v>402</v>
          </cell>
          <cell r="K54">
            <v>271</v>
          </cell>
          <cell r="L54">
            <v>264</v>
          </cell>
          <cell r="M54">
            <v>257</v>
          </cell>
          <cell r="N54">
            <v>249</v>
          </cell>
          <cell r="O54">
            <v>247</v>
          </cell>
          <cell r="P54">
            <v>377</v>
          </cell>
          <cell r="Q54">
            <v>247</v>
          </cell>
          <cell r="R54">
            <v>240</v>
          </cell>
          <cell r="S54">
            <v>388</v>
          </cell>
          <cell r="T54">
            <v>384</v>
          </cell>
          <cell r="U54">
            <v>383</v>
          </cell>
          <cell r="V54">
            <v>374</v>
          </cell>
          <cell r="W54">
            <v>366</v>
          </cell>
          <cell r="X54">
            <v>363</v>
          </cell>
          <cell r="Y54">
            <v>354</v>
          </cell>
          <cell r="Z54">
            <v>335</v>
          </cell>
          <cell r="AA54">
            <v>323</v>
          </cell>
          <cell r="AB54">
            <v>312</v>
          </cell>
          <cell r="AC54">
            <v>311</v>
          </cell>
          <cell r="AD54">
            <v>309</v>
          </cell>
          <cell r="AE54">
            <v>315</v>
          </cell>
          <cell r="AF54">
            <v>302</v>
          </cell>
          <cell r="AG54">
            <v>308</v>
          </cell>
          <cell r="AH54">
            <v>301</v>
          </cell>
          <cell r="AI54">
            <v>275</v>
          </cell>
          <cell r="AJ54">
            <v>717</v>
          </cell>
          <cell r="AK54">
            <v>753</v>
          </cell>
          <cell r="AL54">
            <v>845</v>
          </cell>
          <cell r="AM54">
            <v>924</v>
          </cell>
          <cell r="AN54">
            <v>992</v>
          </cell>
          <cell r="AO54">
            <v>862</v>
          </cell>
          <cell r="AP54">
            <v>923</v>
          </cell>
          <cell r="AQ54">
            <v>389</v>
          </cell>
          <cell r="AR54">
            <v>391</v>
          </cell>
          <cell r="AS54">
            <v>315</v>
          </cell>
          <cell r="AT54">
            <v>263</v>
          </cell>
          <cell r="AU54">
            <v>206</v>
          </cell>
          <cell r="AV54">
            <v>465</v>
          </cell>
          <cell r="AW54">
            <v>466</v>
          </cell>
        </row>
        <row r="55">
          <cell r="B55">
            <v>560341</v>
          </cell>
          <cell r="C55" t="str">
            <v>Dolní Nivy (okres Sokolov)</v>
          </cell>
          <cell r="D55" t="str">
            <v>Dolní Nivy (okres Sokolov)</v>
          </cell>
          <cell r="E55">
            <v>354</v>
          </cell>
          <cell r="F55">
            <v>361</v>
          </cell>
          <cell r="G55">
            <v>351</v>
          </cell>
          <cell r="H55">
            <v>342</v>
          </cell>
          <cell r="I55">
            <v>350</v>
          </cell>
          <cell r="J55">
            <v>337</v>
          </cell>
          <cell r="K55">
            <v>278</v>
          </cell>
          <cell r="L55">
            <v>274</v>
          </cell>
          <cell r="M55">
            <v>262</v>
          </cell>
          <cell r="N55">
            <v>264</v>
          </cell>
          <cell r="O55">
            <v>255</v>
          </cell>
          <cell r="P55">
            <v>346</v>
          </cell>
          <cell r="Q55">
            <v>253</v>
          </cell>
          <cell r="R55">
            <v>249</v>
          </cell>
          <cell r="S55">
            <v>327</v>
          </cell>
          <cell r="T55">
            <v>314</v>
          </cell>
          <cell r="U55">
            <v>316</v>
          </cell>
          <cell r="V55">
            <v>311</v>
          </cell>
          <cell r="W55">
            <v>316</v>
          </cell>
          <cell r="X55">
            <v>313</v>
          </cell>
          <cell r="Y55">
            <v>316</v>
          </cell>
          <cell r="Z55">
            <v>322</v>
          </cell>
          <cell r="AA55">
            <v>315</v>
          </cell>
          <cell r="AB55">
            <v>312</v>
          </cell>
          <cell r="AC55">
            <v>292</v>
          </cell>
          <cell r="AD55">
            <v>283</v>
          </cell>
          <cell r="AE55">
            <v>283</v>
          </cell>
          <cell r="AF55">
            <v>277</v>
          </cell>
          <cell r="AG55">
            <v>286</v>
          </cell>
          <cell r="AH55">
            <v>287</v>
          </cell>
          <cell r="AI55">
            <v>276</v>
          </cell>
          <cell r="AJ55">
            <v>1363</v>
          </cell>
          <cell r="AK55">
            <v>1362</v>
          </cell>
          <cell r="AL55">
            <v>1304</v>
          </cell>
          <cell r="AM55">
            <v>1414</v>
          </cell>
          <cell r="AN55">
            <v>1469</v>
          </cell>
          <cell r="AO55">
            <v>1461</v>
          </cell>
          <cell r="AP55">
            <v>1543</v>
          </cell>
          <cell r="AQ55">
            <v>688</v>
          </cell>
          <cell r="AR55">
            <v>731</v>
          </cell>
          <cell r="AS55">
            <v>508</v>
          </cell>
          <cell r="AT55">
            <v>382</v>
          </cell>
          <cell r="AU55">
            <v>243</v>
          </cell>
          <cell r="AV55">
            <v>360</v>
          </cell>
          <cell r="AW55">
            <v>368</v>
          </cell>
        </row>
        <row r="56">
          <cell r="B56">
            <v>538591</v>
          </cell>
          <cell r="C56" t="str">
            <v>Dolní Rychnov (okres Sokolov)</v>
          </cell>
          <cell r="D56" t="str">
            <v>Dolní Rychnov (okres Sokolov)</v>
          </cell>
          <cell r="E56">
            <v>1316</v>
          </cell>
          <cell r="F56">
            <v>1314</v>
          </cell>
          <cell r="G56">
            <v>1318</v>
          </cell>
          <cell r="H56">
            <v>1310</v>
          </cell>
          <cell r="I56">
            <v>1318</v>
          </cell>
          <cell r="J56">
            <v>1319</v>
          </cell>
          <cell r="K56">
            <v>1219</v>
          </cell>
          <cell r="L56">
            <v>1209</v>
          </cell>
          <cell r="M56">
            <v>1188</v>
          </cell>
          <cell r="N56">
            <v>1190</v>
          </cell>
          <cell r="O56">
            <v>1203</v>
          </cell>
          <cell r="P56">
            <v>1337</v>
          </cell>
          <cell r="Q56">
            <v>1191</v>
          </cell>
          <cell r="R56">
            <v>1188</v>
          </cell>
          <cell r="S56">
            <v>1355</v>
          </cell>
          <cell r="T56">
            <v>1365</v>
          </cell>
          <cell r="U56">
            <v>1406</v>
          </cell>
          <cell r="V56">
            <v>1437</v>
          </cell>
          <cell r="W56">
            <v>1426</v>
          </cell>
          <cell r="X56">
            <v>1430</v>
          </cell>
          <cell r="Y56">
            <v>1467</v>
          </cell>
          <cell r="Z56">
            <v>1482</v>
          </cell>
          <cell r="AA56">
            <v>1447</v>
          </cell>
          <cell r="AB56">
            <v>1424</v>
          </cell>
          <cell r="AC56">
            <v>1406</v>
          </cell>
          <cell r="AD56">
            <v>1389</v>
          </cell>
          <cell r="AE56">
            <v>1370</v>
          </cell>
          <cell r="AF56">
            <v>1337</v>
          </cell>
          <cell r="AG56">
            <v>1279</v>
          </cell>
          <cell r="AH56">
            <v>1295</v>
          </cell>
          <cell r="AI56">
            <v>1227</v>
          </cell>
          <cell r="AJ56">
            <v>1002</v>
          </cell>
          <cell r="AK56">
            <v>1676</v>
          </cell>
          <cell r="AL56">
            <v>2044</v>
          </cell>
          <cell r="AM56">
            <v>2331</v>
          </cell>
          <cell r="AN56">
            <v>2173</v>
          </cell>
          <cell r="AO56">
            <v>2697</v>
          </cell>
          <cell r="AP56">
            <v>3629</v>
          </cell>
          <cell r="AQ56">
            <v>2768</v>
          </cell>
          <cell r="AR56">
            <v>2474</v>
          </cell>
          <cell r="AS56">
            <v>1879</v>
          </cell>
          <cell r="AT56">
            <v>1485</v>
          </cell>
          <cell r="AU56">
            <v>1190</v>
          </cell>
          <cell r="AV56">
            <v>1282</v>
          </cell>
          <cell r="AW56">
            <v>1280</v>
          </cell>
        </row>
        <row r="57">
          <cell r="B57">
            <v>554502</v>
          </cell>
          <cell r="C57" t="str">
            <v>Dolní Žandov (okres Cheb)</v>
          </cell>
          <cell r="D57" t="str">
            <v>Dolní Žandov (okres Cheb)</v>
          </cell>
          <cell r="E57">
            <v>1234</v>
          </cell>
          <cell r="F57">
            <v>1235</v>
          </cell>
          <cell r="G57">
            <v>1185</v>
          </cell>
          <cell r="H57">
            <v>1222</v>
          </cell>
          <cell r="I57">
            <v>1240</v>
          </cell>
          <cell r="J57">
            <v>1213</v>
          </cell>
          <cell r="K57">
            <v>1175</v>
          </cell>
          <cell r="L57">
            <v>1187</v>
          </cell>
          <cell r="M57">
            <v>1192</v>
          </cell>
          <cell r="N57">
            <v>1177</v>
          </cell>
          <cell r="O57">
            <v>1173</v>
          </cell>
          <cell r="P57">
            <v>1207</v>
          </cell>
          <cell r="Q57">
            <v>1170</v>
          </cell>
          <cell r="R57">
            <v>1154</v>
          </cell>
          <cell r="S57">
            <v>1220</v>
          </cell>
          <cell r="T57">
            <v>1236</v>
          </cell>
          <cell r="U57">
            <v>1244</v>
          </cell>
          <cell r="V57">
            <v>1231</v>
          </cell>
          <cell r="W57">
            <v>1211</v>
          </cell>
          <cell r="X57">
            <v>1200</v>
          </cell>
          <cell r="Y57">
            <v>1222</v>
          </cell>
          <cell r="Z57">
            <v>1211</v>
          </cell>
          <cell r="AA57">
            <v>1212</v>
          </cell>
          <cell r="AB57">
            <v>1211</v>
          </cell>
          <cell r="AC57">
            <v>1183</v>
          </cell>
          <cell r="AD57">
            <v>1202</v>
          </cell>
          <cell r="AE57">
            <v>1194</v>
          </cell>
          <cell r="AF57">
            <v>1204</v>
          </cell>
          <cell r="AG57">
            <v>1211</v>
          </cell>
          <cell r="AH57">
            <v>1180</v>
          </cell>
          <cell r="AI57">
            <v>1174</v>
          </cell>
          <cell r="AJ57">
            <v>3529</v>
          </cell>
          <cell r="AK57">
            <v>3410</v>
          </cell>
          <cell r="AL57">
            <v>3196</v>
          </cell>
          <cell r="AM57">
            <v>2964</v>
          </cell>
          <cell r="AN57">
            <v>3068</v>
          </cell>
          <cell r="AO57">
            <v>2912</v>
          </cell>
          <cell r="AP57">
            <v>2979</v>
          </cell>
          <cell r="AQ57">
            <v>1258</v>
          </cell>
          <cell r="AR57">
            <v>1102</v>
          </cell>
          <cell r="AS57">
            <v>1022</v>
          </cell>
          <cell r="AT57">
            <v>967</v>
          </cell>
          <cell r="AU57">
            <v>1152</v>
          </cell>
          <cell r="AV57">
            <v>1174</v>
          </cell>
          <cell r="AW57">
            <v>1186</v>
          </cell>
        </row>
        <row r="58">
          <cell r="B58">
            <v>500127</v>
          </cell>
          <cell r="C58" t="str">
            <v>Doupovské Hradiště (okres Karlovy Vary)</v>
          </cell>
          <cell r="D58" t="str">
            <v>Doupovské Hradiště (okres Karlovy Vary)</v>
          </cell>
          <cell r="E58">
            <v>164</v>
          </cell>
          <cell r="F58">
            <v>162</v>
          </cell>
          <cell r="G58">
            <v>162</v>
          </cell>
          <cell r="H58">
            <v>161</v>
          </cell>
          <cell r="I58">
            <v>159</v>
          </cell>
          <cell r="J58">
            <v>160</v>
          </cell>
          <cell r="K58"/>
          <cell r="L58"/>
          <cell r="M58"/>
          <cell r="N58"/>
          <cell r="O58"/>
          <cell r="P58">
            <v>160</v>
          </cell>
          <cell r="Q58"/>
          <cell r="R58"/>
          <cell r="S58">
            <v>159</v>
          </cell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>
            <v>1636</v>
          </cell>
          <cell r="AK58">
            <v>1854</v>
          </cell>
          <cell r="AL58">
            <v>1919</v>
          </cell>
          <cell r="AM58">
            <v>2105</v>
          </cell>
          <cell r="AN58">
            <v>2217</v>
          </cell>
          <cell r="AO58">
            <v>1922</v>
          </cell>
          <cell r="AP58">
            <v>1905</v>
          </cell>
          <cell r="AQ58">
            <v>374</v>
          </cell>
          <cell r="AR58"/>
          <cell r="AS58"/>
          <cell r="AT58"/>
          <cell r="AU58"/>
          <cell r="AV58">
            <v>163</v>
          </cell>
          <cell r="AW58">
            <v>172</v>
          </cell>
        </row>
        <row r="59">
          <cell r="B59">
            <v>554511</v>
          </cell>
          <cell r="C59" t="str">
            <v>Drmoul (okres Cheb)</v>
          </cell>
          <cell r="D59" t="str">
            <v>Drmoul (okres Cheb)</v>
          </cell>
          <cell r="E59">
            <v>1013</v>
          </cell>
          <cell r="F59">
            <v>1013</v>
          </cell>
          <cell r="G59">
            <v>1016</v>
          </cell>
          <cell r="H59">
            <v>1014</v>
          </cell>
          <cell r="I59">
            <v>1011</v>
          </cell>
          <cell r="J59">
            <v>1002</v>
          </cell>
          <cell r="K59">
            <v>733</v>
          </cell>
          <cell r="L59">
            <v>726</v>
          </cell>
          <cell r="M59">
            <v>726</v>
          </cell>
          <cell r="N59">
            <v>737</v>
          </cell>
          <cell r="O59">
            <v>734</v>
          </cell>
          <cell r="P59">
            <v>986</v>
          </cell>
          <cell r="Q59">
            <v>731</v>
          </cell>
          <cell r="R59">
            <v>715</v>
          </cell>
          <cell r="S59">
            <v>987</v>
          </cell>
          <cell r="T59">
            <v>963</v>
          </cell>
          <cell r="U59">
            <v>937</v>
          </cell>
          <cell r="V59">
            <v>921</v>
          </cell>
          <cell r="W59">
            <v>919</v>
          </cell>
          <cell r="X59">
            <v>903</v>
          </cell>
          <cell r="Y59">
            <v>886</v>
          </cell>
          <cell r="Z59">
            <v>872</v>
          </cell>
          <cell r="AA59">
            <v>865</v>
          </cell>
          <cell r="AB59">
            <v>852</v>
          </cell>
          <cell r="AC59">
            <v>835</v>
          </cell>
          <cell r="AD59">
            <v>813</v>
          </cell>
          <cell r="AE59">
            <v>796</v>
          </cell>
          <cell r="AF59">
            <v>777</v>
          </cell>
          <cell r="AG59">
            <v>762</v>
          </cell>
          <cell r="AH59">
            <v>758</v>
          </cell>
          <cell r="AI59">
            <v>732</v>
          </cell>
          <cell r="AJ59">
            <v>803</v>
          </cell>
          <cell r="AK59">
            <v>916</v>
          </cell>
          <cell r="AL59">
            <v>963</v>
          </cell>
          <cell r="AM59">
            <v>1038</v>
          </cell>
          <cell r="AN59">
            <v>1240</v>
          </cell>
          <cell r="AO59">
            <v>1126</v>
          </cell>
          <cell r="AP59">
            <v>1349</v>
          </cell>
          <cell r="AQ59">
            <v>680</v>
          </cell>
          <cell r="AR59">
            <v>773</v>
          </cell>
          <cell r="AS59">
            <v>739</v>
          </cell>
          <cell r="AT59">
            <v>734</v>
          </cell>
          <cell r="AU59">
            <v>720</v>
          </cell>
          <cell r="AV59">
            <v>1014</v>
          </cell>
          <cell r="AW59">
            <v>1046</v>
          </cell>
        </row>
        <row r="60">
          <cell r="B60">
            <v>554529</v>
          </cell>
          <cell r="C60" t="str">
            <v>Františkovy Lázně (okres Cheb)</v>
          </cell>
          <cell r="D60" t="str">
            <v>Františkovy Lázně (okres Cheb)</v>
          </cell>
          <cell r="E60">
            <v>5412</v>
          </cell>
          <cell r="F60">
            <v>5461</v>
          </cell>
          <cell r="G60">
            <v>5783</v>
          </cell>
          <cell r="H60">
            <v>5707</v>
          </cell>
          <cell r="I60">
            <v>5514</v>
          </cell>
          <cell r="J60">
            <v>5187</v>
          </cell>
          <cell r="K60">
            <v>5245</v>
          </cell>
          <cell r="L60">
            <v>5253</v>
          </cell>
          <cell r="M60">
            <v>5310</v>
          </cell>
          <cell r="N60">
            <v>5339</v>
          </cell>
          <cell r="O60">
            <v>5347</v>
          </cell>
          <cell r="P60">
            <v>5501</v>
          </cell>
          <cell r="Q60">
            <v>5345</v>
          </cell>
          <cell r="R60">
            <v>5340</v>
          </cell>
          <cell r="S60">
            <v>5497</v>
          </cell>
          <cell r="T60">
            <v>5536</v>
          </cell>
          <cell r="U60">
            <v>5579</v>
          </cell>
          <cell r="V60">
            <v>5547</v>
          </cell>
          <cell r="W60">
            <v>5569</v>
          </cell>
          <cell r="X60">
            <v>5569</v>
          </cell>
          <cell r="Y60">
            <v>5638</v>
          </cell>
          <cell r="Z60">
            <v>5606</v>
          </cell>
          <cell r="AA60">
            <v>5608</v>
          </cell>
          <cell r="AB60">
            <v>5592</v>
          </cell>
          <cell r="AC60">
            <v>5500</v>
          </cell>
          <cell r="AD60">
            <v>5456</v>
          </cell>
          <cell r="AE60">
            <v>5428</v>
          </cell>
          <cell r="AF60">
            <v>5355</v>
          </cell>
          <cell r="AG60">
            <v>5325</v>
          </cell>
          <cell r="AH60">
            <v>5246</v>
          </cell>
          <cell r="AI60">
            <v>5243</v>
          </cell>
          <cell r="AJ60">
            <v>3070</v>
          </cell>
          <cell r="AK60">
            <v>4397</v>
          </cell>
          <cell r="AL60">
            <v>4354</v>
          </cell>
          <cell r="AM60">
            <v>4382</v>
          </cell>
          <cell r="AN60">
            <v>5239</v>
          </cell>
          <cell r="AO60">
            <v>5608</v>
          </cell>
          <cell r="AP60">
            <v>6497</v>
          </cell>
          <cell r="AQ60">
            <v>3335</v>
          </cell>
          <cell r="AR60">
            <v>4752</v>
          </cell>
          <cell r="AS60">
            <v>4849</v>
          </cell>
          <cell r="AT60">
            <v>5192</v>
          </cell>
          <cell r="AU60">
            <v>5184</v>
          </cell>
          <cell r="AV60">
            <v>5607</v>
          </cell>
          <cell r="AW60">
            <v>5648</v>
          </cell>
        </row>
        <row r="61">
          <cell r="B61">
            <v>560359</v>
          </cell>
          <cell r="C61" t="str">
            <v>Habartov (okres Sokolov)</v>
          </cell>
          <cell r="D61" t="str">
            <v>Habartov (okres Sokolov)</v>
          </cell>
          <cell r="E61">
            <v>4845</v>
          </cell>
          <cell r="F61">
            <v>4876</v>
          </cell>
          <cell r="G61">
            <v>4717</v>
          </cell>
          <cell r="H61">
            <v>4729</v>
          </cell>
          <cell r="I61">
            <v>4846</v>
          </cell>
          <cell r="J61">
            <v>4687</v>
          </cell>
          <cell r="K61">
            <v>5506</v>
          </cell>
          <cell r="L61">
            <v>5495</v>
          </cell>
          <cell r="M61">
            <v>5548</v>
          </cell>
          <cell r="N61">
            <v>5548</v>
          </cell>
          <cell r="O61">
            <v>5536</v>
          </cell>
          <cell r="P61">
            <v>4868</v>
          </cell>
          <cell r="Q61">
            <v>5493</v>
          </cell>
          <cell r="R61">
            <v>5465</v>
          </cell>
          <cell r="S61">
            <v>4906</v>
          </cell>
          <cell r="T61">
            <v>4889</v>
          </cell>
          <cell r="U61">
            <v>4927</v>
          </cell>
          <cell r="V61">
            <v>4942</v>
          </cell>
          <cell r="W61">
            <v>5032</v>
          </cell>
          <cell r="X61">
            <v>5117</v>
          </cell>
          <cell r="Y61">
            <v>5269</v>
          </cell>
          <cell r="Z61">
            <v>5238</v>
          </cell>
          <cell r="AA61">
            <v>5242</v>
          </cell>
          <cell r="AB61">
            <v>5289</v>
          </cell>
          <cell r="AC61">
            <v>5322</v>
          </cell>
          <cell r="AD61">
            <v>5319</v>
          </cell>
          <cell r="AE61">
            <v>5314</v>
          </cell>
          <cell r="AF61">
            <v>5337</v>
          </cell>
          <cell r="AG61">
            <v>5334</v>
          </cell>
          <cell r="AH61">
            <v>5372</v>
          </cell>
          <cell r="AI61">
            <v>5456</v>
          </cell>
          <cell r="AJ61">
            <v>1970</v>
          </cell>
          <cell r="AK61">
            <v>2419</v>
          </cell>
          <cell r="AL61">
            <v>2435</v>
          </cell>
          <cell r="AM61">
            <v>3202</v>
          </cell>
          <cell r="AN61">
            <v>4390</v>
          </cell>
          <cell r="AO61">
            <v>4299</v>
          </cell>
          <cell r="AP61">
            <v>4872</v>
          </cell>
          <cell r="AQ61">
            <v>3079</v>
          </cell>
          <cell r="AR61">
            <v>4182</v>
          </cell>
          <cell r="AS61">
            <v>6701</v>
          </cell>
          <cell r="AT61">
            <v>6184</v>
          </cell>
          <cell r="AU61">
            <v>5477</v>
          </cell>
          <cell r="AV61">
            <v>4691</v>
          </cell>
          <cell r="AW61">
            <v>4614</v>
          </cell>
        </row>
        <row r="62">
          <cell r="B62">
            <v>538159</v>
          </cell>
          <cell r="C62" t="str">
            <v>Hájek (okres Karlovy Vary)</v>
          </cell>
          <cell r="D62" t="str">
            <v>Hájek (okres Karlovy Vary)</v>
          </cell>
          <cell r="E62">
            <v>641</v>
          </cell>
          <cell r="F62">
            <v>631</v>
          </cell>
          <cell r="G62">
            <v>643</v>
          </cell>
          <cell r="H62">
            <v>643</v>
          </cell>
          <cell r="I62">
            <v>623</v>
          </cell>
          <cell r="J62">
            <v>643</v>
          </cell>
          <cell r="K62">
            <v>332</v>
          </cell>
          <cell r="L62">
            <v>333</v>
          </cell>
          <cell r="M62">
            <v>325</v>
          </cell>
          <cell r="N62">
            <v>316</v>
          </cell>
          <cell r="O62">
            <v>311</v>
          </cell>
          <cell r="P62">
            <v>618</v>
          </cell>
          <cell r="Q62">
            <v>305</v>
          </cell>
          <cell r="R62">
            <v>320</v>
          </cell>
          <cell r="S62">
            <v>616</v>
          </cell>
          <cell r="T62">
            <v>616</v>
          </cell>
          <cell r="U62">
            <v>610</v>
          </cell>
          <cell r="V62">
            <v>587</v>
          </cell>
          <cell r="W62">
            <v>552</v>
          </cell>
          <cell r="X62">
            <v>525</v>
          </cell>
          <cell r="Y62">
            <v>512</v>
          </cell>
          <cell r="Z62">
            <v>483</v>
          </cell>
          <cell r="AA62">
            <v>478</v>
          </cell>
          <cell r="AB62">
            <v>458</v>
          </cell>
          <cell r="AC62">
            <v>443</v>
          </cell>
          <cell r="AD62">
            <v>436</v>
          </cell>
          <cell r="AE62">
            <v>410</v>
          </cell>
          <cell r="AF62">
            <v>397</v>
          </cell>
          <cell r="AG62">
            <v>403</v>
          </cell>
          <cell r="AH62">
            <v>396</v>
          </cell>
          <cell r="AI62">
            <v>330</v>
          </cell>
          <cell r="AJ62">
            <v>430</v>
          </cell>
          <cell r="AK62">
            <v>514</v>
          </cell>
          <cell r="AL62">
            <v>556</v>
          </cell>
          <cell r="AM62">
            <v>663</v>
          </cell>
          <cell r="AN62">
            <v>749</v>
          </cell>
          <cell r="AO62">
            <v>652</v>
          </cell>
          <cell r="AP62">
            <v>740</v>
          </cell>
          <cell r="AQ62">
            <v>452</v>
          </cell>
          <cell r="AR62">
            <v>471</v>
          </cell>
          <cell r="AS62">
            <v>389</v>
          </cell>
          <cell r="AT62">
            <v>334</v>
          </cell>
          <cell r="AU62">
            <v>348</v>
          </cell>
          <cell r="AV62">
            <v>641</v>
          </cell>
          <cell r="AW62">
            <v>643</v>
          </cell>
        </row>
        <row r="63">
          <cell r="B63">
            <v>554545</v>
          </cell>
          <cell r="C63" t="str">
            <v>Hazlov (okres Cheb)</v>
          </cell>
          <cell r="D63" t="str">
            <v>Hazlov (okres Cheb)</v>
          </cell>
          <cell r="E63">
            <v>1532</v>
          </cell>
          <cell r="F63">
            <v>1566</v>
          </cell>
          <cell r="G63">
            <v>1530</v>
          </cell>
          <cell r="H63">
            <v>1532</v>
          </cell>
          <cell r="I63">
            <v>1540</v>
          </cell>
          <cell r="J63">
            <v>1512</v>
          </cell>
          <cell r="K63">
            <v>1502</v>
          </cell>
          <cell r="L63">
            <v>1488</v>
          </cell>
          <cell r="M63">
            <v>1469</v>
          </cell>
          <cell r="N63">
            <v>1446</v>
          </cell>
          <cell r="O63">
            <v>1439</v>
          </cell>
          <cell r="P63">
            <v>1526</v>
          </cell>
          <cell r="Q63">
            <v>1435</v>
          </cell>
          <cell r="R63">
            <v>1368</v>
          </cell>
          <cell r="S63">
            <v>1552</v>
          </cell>
          <cell r="T63">
            <v>1559</v>
          </cell>
          <cell r="U63">
            <v>1558</v>
          </cell>
          <cell r="V63">
            <v>1576</v>
          </cell>
          <cell r="W63">
            <v>1628</v>
          </cell>
          <cell r="X63">
            <v>1640</v>
          </cell>
          <cell r="Y63">
            <v>1649</v>
          </cell>
          <cell r="Z63">
            <v>1654</v>
          </cell>
          <cell r="AA63">
            <v>1634</v>
          </cell>
          <cell r="AB63">
            <v>1627</v>
          </cell>
          <cell r="AC63">
            <v>1617</v>
          </cell>
          <cell r="AD63">
            <v>1616</v>
          </cell>
          <cell r="AE63">
            <v>1610</v>
          </cell>
          <cell r="AF63">
            <v>1583</v>
          </cell>
          <cell r="AG63">
            <v>1570</v>
          </cell>
          <cell r="AH63">
            <v>1581</v>
          </cell>
          <cell r="AI63">
            <v>1521</v>
          </cell>
          <cell r="AJ63">
            <v>4571</v>
          </cell>
          <cell r="AK63">
            <v>4704</v>
          </cell>
          <cell r="AL63">
            <v>4544</v>
          </cell>
          <cell r="AM63">
            <v>4471</v>
          </cell>
          <cell r="AN63">
            <v>4861</v>
          </cell>
          <cell r="AO63">
            <v>4047</v>
          </cell>
          <cell r="AP63">
            <v>4751</v>
          </cell>
          <cell r="AQ63">
            <v>1509</v>
          </cell>
          <cell r="AR63">
            <v>1583</v>
          </cell>
          <cell r="AS63">
            <v>1456</v>
          </cell>
          <cell r="AT63">
            <v>1389</v>
          </cell>
          <cell r="AU63">
            <v>1365</v>
          </cell>
          <cell r="AV63">
            <v>1522</v>
          </cell>
          <cell r="AW63">
            <v>1507</v>
          </cell>
        </row>
        <row r="64">
          <cell r="B64">
            <v>555169</v>
          </cell>
          <cell r="C64" t="str">
            <v>Horní Blatná (okres Karlovy Vary)</v>
          </cell>
          <cell r="D64" t="str">
            <v>Horní Blatná (okres Karlovy Vary)</v>
          </cell>
          <cell r="E64">
            <v>389</v>
          </cell>
          <cell r="F64">
            <v>395</v>
          </cell>
          <cell r="G64">
            <v>382</v>
          </cell>
          <cell r="H64">
            <v>370</v>
          </cell>
          <cell r="I64">
            <v>412</v>
          </cell>
          <cell r="J64">
            <v>361</v>
          </cell>
          <cell r="K64">
            <v>451</v>
          </cell>
          <cell r="L64">
            <v>436</v>
          </cell>
          <cell r="M64">
            <v>383</v>
          </cell>
          <cell r="N64">
            <v>364</v>
          </cell>
          <cell r="O64">
            <v>351</v>
          </cell>
          <cell r="P64">
            <v>420</v>
          </cell>
          <cell r="Q64">
            <v>341</v>
          </cell>
          <cell r="R64">
            <v>353</v>
          </cell>
          <cell r="S64">
            <v>439</v>
          </cell>
          <cell r="T64">
            <v>445</v>
          </cell>
          <cell r="U64">
            <v>473</v>
          </cell>
          <cell r="V64">
            <v>488</v>
          </cell>
          <cell r="W64">
            <v>491</v>
          </cell>
          <cell r="X64">
            <v>506</v>
          </cell>
          <cell r="Y64">
            <v>608</v>
          </cell>
          <cell r="Z64">
            <v>673</v>
          </cell>
          <cell r="AA64">
            <v>793</v>
          </cell>
          <cell r="AB64">
            <v>843</v>
          </cell>
          <cell r="AC64">
            <v>716</v>
          </cell>
          <cell r="AD64">
            <v>721</v>
          </cell>
          <cell r="AE64">
            <v>755</v>
          </cell>
          <cell r="AF64">
            <v>694</v>
          </cell>
          <cell r="AG64">
            <v>725</v>
          </cell>
          <cell r="AH64">
            <v>531</v>
          </cell>
          <cell r="AI64">
            <v>462</v>
          </cell>
          <cell r="AJ64">
            <v>2213</v>
          </cell>
          <cell r="AK64">
            <v>2340</v>
          </cell>
          <cell r="AL64">
            <v>2524</v>
          </cell>
          <cell r="AM64">
            <v>2771</v>
          </cell>
          <cell r="AN64">
            <v>2749</v>
          </cell>
          <cell r="AO64">
            <v>2163</v>
          </cell>
          <cell r="AP64">
            <v>2341</v>
          </cell>
          <cell r="AQ64">
            <v>1098</v>
          </cell>
          <cell r="AR64">
            <v>813</v>
          </cell>
          <cell r="AS64">
            <v>582</v>
          </cell>
          <cell r="AT64">
            <v>448</v>
          </cell>
          <cell r="AU64">
            <v>367</v>
          </cell>
          <cell r="AV64">
            <v>365</v>
          </cell>
          <cell r="AW64">
            <v>350</v>
          </cell>
        </row>
        <row r="65">
          <cell r="B65">
            <v>560367</v>
          </cell>
          <cell r="C65" t="str">
            <v>Horní Slavkov (okres Sokolov)</v>
          </cell>
          <cell r="D65" t="str">
            <v>Horní Slavkov (okres Sokolov)</v>
          </cell>
          <cell r="E65">
            <v>5379</v>
          </cell>
          <cell r="F65">
            <v>5403</v>
          </cell>
          <cell r="G65">
            <v>5438</v>
          </cell>
          <cell r="H65">
            <v>5388</v>
          </cell>
          <cell r="I65">
            <v>5414</v>
          </cell>
          <cell r="J65">
            <v>5208</v>
          </cell>
          <cell r="K65">
            <v>6023</v>
          </cell>
          <cell r="L65">
            <v>6023</v>
          </cell>
          <cell r="M65">
            <v>5998</v>
          </cell>
          <cell r="N65">
            <v>6000</v>
          </cell>
          <cell r="O65">
            <v>6022</v>
          </cell>
          <cell r="P65">
            <v>5475</v>
          </cell>
          <cell r="Q65">
            <v>5997</v>
          </cell>
          <cell r="R65">
            <v>5989</v>
          </cell>
          <cell r="S65">
            <v>5502</v>
          </cell>
          <cell r="T65">
            <v>5520</v>
          </cell>
          <cell r="U65">
            <v>5566</v>
          </cell>
          <cell r="V65">
            <v>5608</v>
          </cell>
          <cell r="W65">
            <v>5649</v>
          </cell>
          <cell r="X65">
            <v>5623</v>
          </cell>
          <cell r="Y65">
            <v>5633</v>
          </cell>
          <cell r="Z65">
            <v>5654</v>
          </cell>
          <cell r="AA65">
            <v>5716</v>
          </cell>
          <cell r="AB65">
            <v>5749</v>
          </cell>
          <cell r="AC65">
            <v>5762</v>
          </cell>
          <cell r="AD65">
            <v>5761</v>
          </cell>
          <cell r="AE65">
            <v>5784</v>
          </cell>
          <cell r="AF65">
            <v>5818</v>
          </cell>
          <cell r="AG65">
            <v>5865</v>
          </cell>
          <cell r="AH65">
            <v>5955</v>
          </cell>
          <cell r="AI65">
            <v>6007</v>
          </cell>
          <cell r="AJ65">
            <v>5374</v>
          </cell>
          <cell r="AK65">
            <v>5358</v>
          </cell>
          <cell r="AL65">
            <v>5363</v>
          </cell>
          <cell r="AM65">
            <v>5351</v>
          </cell>
          <cell r="AN65">
            <v>4927</v>
          </cell>
          <cell r="AO65">
            <v>4453</v>
          </cell>
          <cell r="AP65">
            <v>4294</v>
          </cell>
          <cell r="AQ65">
            <v>2095</v>
          </cell>
          <cell r="AR65">
            <v>5669</v>
          </cell>
          <cell r="AS65">
            <v>5478</v>
          </cell>
          <cell r="AT65">
            <v>6106</v>
          </cell>
          <cell r="AU65">
            <v>6101</v>
          </cell>
          <cell r="AV65">
            <v>5309</v>
          </cell>
          <cell r="AW65">
            <v>5071</v>
          </cell>
        </row>
        <row r="66">
          <cell r="B66">
            <v>551651</v>
          </cell>
          <cell r="C66" t="str">
            <v>Hory (okres Karlovy Vary)</v>
          </cell>
          <cell r="D66" t="str">
            <v>Hory (okres Karlovy Vary)</v>
          </cell>
          <cell r="E66">
            <v>338</v>
          </cell>
          <cell r="F66">
            <v>297</v>
          </cell>
          <cell r="G66">
            <v>439</v>
          </cell>
          <cell r="H66">
            <v>411</v>
          </cell>
          <cell r="I66">
            <v>281</v>
          </cell>
          <cell r="J66">
            <v>375</v>
          </cell>
          <cell r="K66">
            <v>191</v>
          </cell>
          <cell r="L66">
            <v>182</v>
          </cell>
          <cell r="M66">
            <v>185</v>
          </cell>
          <cell r="N66">
            <v>188</v>
          </cell>
          <cell r="O66">
            <v>176</v>
          </cell>
          <cell r="P66">
            <v>271</v>
          </cell>
          <cell r="Q66">
            <v>175</v>
          </cell>
          <cell r="R66"/>
          <cell r="S66">
            <v>256</v>
          </cell>
          <cell r="T66">
            <v>252</v>
          </cell>
          <cell r="U66">
            <v>237</v>
          </cell>
          <cell r="V66">
            <v>232</v>
          </cell>
          <cell r="W66">
            <v>224</v>
          </cell>
          <cell r="X66">
            <v>208</v>
          </cell>
          <cell r="Y66">
            <v>222</v>
          </cell>
          <cell r="Z66">
            <v>224</v>
          </cell>
          <cell r="AA66">
            <v>211</v>
          </cell>
          <cell r="AB66">
            <v>206</v>
          </cell>
          <cell r="AC66">
            <v>204</v>
          </cell>
          <cell r="AD66">
            <v>197</v>
          </cell>
          <cell r="AE66">
            <v>199</v>
          </cell>
          <cell r="AF66">
            <v>195</v>
          </cell>
          <cell r="AG66">
            <v>189</v>
          </cell>
          <cell r="AH66">
            <v>183</v>
          </cell>
          <cell r="AI66">
            <v>191</v>
          </cell>
          <cell r="AJ66">
            <v>452</v>
          </cell>
          <cell r="AK66">
            <v>452</v>
          </cell>
          <cell r="AL66">
            <v>647</v>
          </cell>
          <cell r="AM66">
            <v>847</v>
          </cell>
          <cell r="AN66">
            <v>919</v>
          </cell>
          <cell r="AO66">
            <v>928</v>
          </cell>
          <cell r="AP66">
            <v>1028</v>
          </cell>
          <cell r="AQ66">
            <v>391</v>
          </cell>
          <cell r="AR66">
            <v>392</v>
          </cell>
          <cell r="AS66">
            <v>321</v>
          </cell>
          <cell r="AT66">
            <v>197</v>
          </cell>
          <cell r="AU66">
            <v>168</v>
          </cell>
          <cell r="AV66">
            <v>459</v>
          </cell>
          <cell r="AW66">
            <v>502</v>
          </cell>
        </row>
        <row r="67">
          <cell r="B67">
            <v>555177</v>
          </cell>
          <cell r="C67" t="str">
            <v>Hradiště (okres Karlovy Vary)</v>
          </cell>
          <cell r="D67" t="str">
            <v>Hradiště (okres Karlovy Vary)</v>
          </cell>
          <cell r="E67"/>
          <cell r="F67"/>
          <cell r="G67"/>
          <cell r="H67"/>
          <cell r="I67"/>
          <cell r="J67"/>
          <cell r="K67">
            <v>638</v>
          </cell>
          <cell r="L67">
            <v>647</v>
          </cell>
          <cell r="M67">
            <v>649</v>
          </cell>
          <cell r="N67">
            <v>648</v>
          </cell>
          <cell r="O67">
            <v>630</v>
          </cell>
          <cell r="P67"/>
          <cell r="Q67">
            <v>617</v>
          </cell>
          <cell r="R67">
            <v>624</v>
          </cell>
          <cell r="S67"/>
          <cell r="T67">
            <v>531</v>
          </cell>
          <cell r="U67">
            <v>548</v>
          </cell>
          <cell r="V67">
            <v>549</v>
          </cell>
          <cell r="W67">
            <v>542</v>
          </cell>
          <cell r="X67">
            <v>548</v>
          </cell>
          <cell r="Y67">
            <v>599</v>
          </cell>
          <cell r="Z67">
            <v>606</v>
          </cell>
          <cell r="AA67">
            <v>613</v>
          </cell>
          <cell r="AB67">
            <v>603</v>
          </cell>
          <cell r="AC67">
            <v>598</v>
          </cell>
          <cell r="AD67">
            <v>620</v>
          </cell>
          <cell r="AE67">
            <v>619</v>
          </cell>
          <cell r="AF67">
            <v>617</v>
          </cell>
          <cell r="AG67">
            <v>612</v>
          </cell>
          <cell r="AH67">
            <v>602</v>
          </cell>
          <cell r="AI67">
            <v>633</v>
          </cell>
          <cell r="AJ67">
            <v>12163</v>
          </cell>
          <cell r="AK67">
            <v>12652</v>
          </cell>
          <cell r="AL67">
            <v>12414</v>
          </cell>
          <cell r="AM67">
            <v>12162</v>
          </cell>
          <cell r="AN67">
            <v>12186</v>
          </cell>
          <cell r="AO67">
            <v>12078</v>
          </cell>
          <cell r="AP67">
            <v>11338</v>
          </cell>
          <cell r="AQ67">
            <v>2745</v>
          </cell>
          <cell r="AR67">
            <v>601</v>
          </cell>
          <cell r="AS67">
            <v>914</v>
          </cell>
          <cell r="AT67">
            <v>648</v>
          </cell>
          <cell r="AU67">
            <v>616</v>
          </cell>
          <cell r="AW67" t="str">
            <v>-</v>
          </cell>
        </row>
        <row r="68">
          <cell r="B68">
            <v>554553</v>
          </cell>
          <cell r="C68" t="str">
            <v>Hranice (okres Cheb)</v>
          </cell>
          <cell r="D68" t="str">
            <v>Hranice (okres Cheb)</v>
          </cell>
          <cell r="E68">
            <v>2151</v>
          </cell>
          <cell r="F68">
            <v>2147</v>
          </cell>
          <cell r="G68">
            <v>2101</v>
          </cell>
          <cell r="H68">
            <v>2087</v>
          </cell>
          <cell r="I68">
            <v>2129</v>
          </cell>
          <cell r="J68">
            <v>2057</v>
          </cell>
          <cell r="K68">
            <v>2297</v>
          </cell>
          <cell r="L68">
            <v>2298</v>
          </cell>
          <cell r="M68">
            <v>2302</v>
          </cell>
          <cell r="N68">
            <v>2307</v>
          </cell>
          <cell r="O68">
            <v>2287</v>
          </cell>
          <cell r="P68">
            <v>2098</v>
          </cell>
          <cell r="Q68">
            <v>2247</v>
          </cell>
          <cell r="R68">
            <v>2253</v>
          </cell>
          <cell r="S68">
            <v>2140</v>
          </cell>
          <cell r="T68">
            <v>2145</v>
          </cell>
          <cell r="U68">
            <v>2160</v>
          </cell>
          <cell r="V68">
            <v>2178</v>
          </cell>
          <cell r="W68">
            <v>2190</v>
          </cell>
          <cell r="X68">
            <v>2191</v>
          </cell>
          <cell r="Y68">
            <v>2198</v>
          </cell>
          <cell r="Z68">
            <v>2200</v>
          </cell>
          <cell r="AA68">
            <v>2212</v>
          </cell>
          <cell r="AB68">
            <v>2232</v>
          </cell>
          <cell r="AC68">
            <v>2228</v>
          </cell>
          <cell r="AD68">
            <v>2256</v>
          </cell>
          <cell r="AE68">
            <v>2272</v>
          </cell>
          <cell r="AF68">
            <v>2268</v>
          </cell>
          <cell r="AG68">
            <v>2289</v>
          </cell>
          <cell r="AH68">
            <v>2257</v>
          </cell>
          <cell r="AI68">
            <v>2292</v>
          </cell>
          <cell r="AJ68">
            <v>5982</v>
          </cell>
          <cell r="AK68">
            <v>6296</v>
          </cell>
          <cell r="AL68">
            <v>6047</v>
          </cell>
          <cell r="AM68">
            <v>6568</v>
          </cell>
          <cell r="AN68">
            <v>7281</v>
          </cell>
          <cell r="AO68">
            <v>6357</v>
          </cell>
          <cell r="AP68">
            <v>6922</v>
          </cell>
          <cell r="AQ68">
            <v>3160</v>
          </cell>
          <cell r="AR68">
            <v>2417</v>
          </cell>
          <cell r="AS68">
            <v>2496</v>
          </cell>
          <cell r="AT68">
            <v>2428</v>
          </cell>
          <cell r="AU68">
            <v>2280</v>
          </cell>
          <cell r="AV68">
            <v>2070</v>
          </cell>
          <cell r="AW68">
            <v>2070</v>
          </cell>
        </row>
        <row r="69">
          <cell r="B69">
            <v>555185</v>
          </cell>
          <cell r="C69" t="str">
            <v>Hroznětín (okres Karlovy Vary)</v>
          </cell>
          <cell r="D69" t="str">
            <v>Hroznětín (okres Karlovy Vary)</v>
          </cell>
          <cell r="E69">
            <v>2061</v>
          </cell>
          <cell r="F69">
            <v>2031</v>
          </cell>
          <cell r="G69">
            <v>2107</v>
          </cell>
          <cell r="H69">
            <v>2096</v>
          </cell>
          <cell r="I69">
            <v>2041</v>
          </cell>
          <cell r="J69">
            <v>2053</v>
          </cell>
          <cell r="K69">
            <v>1582</v>
          </cell>
          <cell r="L69">
            <v>1578</v>
          </cell>
          <cell r="M69">
            <v>1582</v>
          </cell>
          <cell r="N69">
            <v>1589</v>
          </cell>
          <cell r="O69">
            <v>1537</v>
          </cell>
          <cell r="P69">
            <v>2026</v>
          </cell>
          <cell r="Q69">
            <v>1532</v>
          </cell>
          <cell r="R69">
            <v>1507</v>
          </cell>
          <cell r="S69">
            <v>2006</v>
          </cell>
          <cell r="T69">
            <v>1960</v>
          </cell>
          <cell r="U69">
            <v>1943</v>
          </cell>
          <cell r="V69">
            <v>1918</v>
          </cell>
          <cell r="W69">
            <v>1910</v>
          </cell>
          <cell r="X69">
            <v>1922</v>
          </cell>
          <cell r="Y69">
            <v>1952</v>
          </cell>
          <cell r="Z69">
            <v>1931</v>
          </cell>
          <cell r="AA69">
            <v>1906</v>
          </cell>
          <cell r="AB69">
            <v>1865</v>
          </cell>
          <cell r="AC69">
            <v>1816</v>
          </cell>
          <cell r="AD69">
            <v>1820</v>
          </cell>
          <cell r="AE69">
            <v>1764</v>
          </cell>
          <cell r="AF69">
            <v>1721</v>
          </cell>
          <cell r="AG69">
            <v>1705</v>
          </cell>
          <cell r="AH69">
            <v>1654</v>
          </cell>
          <cell r="AI69">
            <v>1586</v>
          </cell>
          <cell r="AJ69">
            <v>2286</v>
          </cell>
          <cell r="AK69">
            <v>2339</v>
          </cell>
          <cell r="AL69">
            <v>2483</v>
          </cell>
          <cell r="AM69">
            <v>2804</v>
          </cell>
          <cell r="AN69">
            <v>2707</v>
          </cell>
          <cell r="AO69">
            <v>2382</v>
          </cell>
          <cell r="AP69">
            <v>2615</v>
          </cell>
          <cell r="AQ69">
            <v>1333</v>
          </cell>
          <cell r="AR69">
            <v>1356</v>
          </cell>
          <cell r="AS69">
            <v>1592</v>
          </cell>
          <cell r="AT69">
            <v>1481</v>
          </cell>
          <cell r="AU69">
            <v>1514</v>
          </cell>
          <cell r="AV69">
            <v>2162</v>
          </cell>
          <cell r="AW69">
            <v>2179</v>
          </cell>
        </row>
        <row r="70">
          <cell r="B70">
            <v>554481</v>
          </cell>
          <cell r="C70" t="str">
            <v>Cheb (okres Cheb)</v>
          </cell>
          <cell r="D70" t="str">
            <v>Cheb (okres Cheb)</v>
          </cell>
          <cell r="E70">
            <v>31920</v>
          </cell>
          <cell r="F70">
            <v>31977</v>
          </cell>
          <cell r="G70">
            <v>32825</v>
          </cell>
          <cell r="H70">
            <v>31954</v>
          </cell>
          <cell r="I70">
            <v>31988</v>
          </cell>
          <cell r="J70">
            <v>30420</v>
          </cell>
          <cell r="K70">
            <v>31609</v>
          </cell>
          <cell r="L70">
            <v>31639</v>
          </cell>
          <cell r="M70">
            <v>31713</v>
          </cell>
          <cell r="N70">
            <v>31778</v>
          </cell>
          <cell r="O70">
            <v>31931</v>
          </cell>
          <cell r="P70">
            <v>32171</v>
          </cell>
          <cell r="Q70">
            <v>31960</v>
          </cell>
          <cell r="R70">
            <v>32056</v>
          </cell>
          <cell r="S70">
            <v>32394</v>
          </cell>
          <cell r="T70">
            <v>32355</v>
          </cell>
          <cell r="U70">
            <v>32351</v>
          </cell>
          <cell r="V70">
            <v>32617</v>
          </cell>
          <cell r="W70">
            <v>32823</v>
          </cell>
          <cell r="X70">
            <v>33067</v>
          </cell>
          <cell r="Y70">
            <v>34530</v>
          </cell>
          <cell r="Z70">
            <v>34626</v>
          </cell>
          <cell r="AA70">
            <v>34873</v>
          </cell>
          <cell r="AB70">
            <v>34818</v>
          </cell>
          <cell r="AC70">
            <v>34036</v>
          </cell>
          <cell r="AD70">
            <v>33681</v>
          </cell>
          <cell r="AE70">
            <v>33462</v>
          </cell>
          <cell r="AF70">
            <v>33242</v>
          </cell>
          <cell r="AG70">
            <v>33192</v>
          </cell>
          <cell r="AH70">
            <v>32991</v>
          </cell>
          <cell r="AI70">
            <v>31511</v>
          </cell>
          <cell r="AJ70">
            <v>17826</v>
          </cell>
          <cell r="AK70">
            <v>21575</v>
          </cell>
          <cell r="AL70">
            <v>22875</v>
          </cell>
          <cell r="AM70">
            <v>28084</v>
          </cell>
          <cell r="AN70">
            <v>31761</v>
          </cell>
          <cell r="AO70">
            <v>32735</v>
          </cell>
          <cell r="AP70">
            <v>37599</v>
          </cell>
          <cell r="AQ70">
            <v>20178</v>
          </cell>
          <cell r="AR70">
            <v>22133</v>
          </cell>
          <cell r="AS70">
            <v>26650</v>
          </cell>
          <cell r="AT70">
            <v>30883</v>
          </cell>
          <cell r="AU70">
            <v>31847</v>
          </cell>
          <cell r="AV70">
            <v>32808</v>
          </cell>
          <cell r="AW70">
            <v>32892</v>
          </cell>
        </row>
        <row r="71">
          <cell r="B71">
            <v>560375</v>
          </cell>
          <cell r="C71" t="str">
            <v>Chlum Svaté Maří (okres Sokolov)</v>
          </cell>
          <cell r="D71" t="str">
            <v>Chlum Svaté Maří (okres Sokolov)</v>
          </cell>
          <cell r="E71">
            <v>286</v>
          </cell>
          <cell r="F71">
            <v>279</v>
          </cell>
          <cell r="G71">
            <v>314</v>
          </cell>
          <cell r="H71">
            <v>305</v>
          </cell>
          <cell r="I71">
            <v>273</v>
          </cell>
          <cell r="J71">
            <v>297</v>
          </cell>
          <cell r="K71">
            <v>277</v>
          </cell>
          <cell r="L71">
            <v>267</v>
          </cell>
          <cell r="M71">
            <v>274</v>
          </cell>
          <cell r="N71">
            <v>271</v>
          </cell>
          <cell r="O71">
            <v>278</v>
          </cell>
          <cell r="P71">
            <v>287</v>
          </cell>
          <cell r="Q71">
            <v>274</v>
          </cell>
          <cell r="R71">
            <v>281</v>
          </cell>
          <cell r="S71">
            <v>297</v>
          </cell>
          <cell r="T71">
            <v>304</v>
          </cell>
          <cell r="U71">
            <v>293</v>
          </cell>
          <cell r="V71">
            <v>289</v>
          </cell>
          <cell r="W71">
            <v>292</v>
          </cell>
          <cell r="X71">
            <v>283</v>
          </cell>
          <cell r="Y71">
            <v>289</v>
          </cell>
          <cell r="Z71">
            <v>297</v>
          </cell>
          <cell r="AA71">
            <v>296</v>
          </cell>
          <cell r="AB71">
            <v>284</v>
          </cell>
          <cell r="AC71">
            <v>281</v>
          </cell>
          <cell r="AD71">
            <v>285</v>
          </cell>
          <cell r="AE71">
            <v>282</v>
          </cell>
          <cell r="AF71">
            <v>293</v>
          </cell>
          <cell r="AG71">
            <v>299</v>
          </cell>
          <cell r="AH71">
            <v>293</v>
          </cell>
          <cell r="AI71">
            <v>274</v>
          </cell>
          <cell r="AJ71">
            <v>1469</v>
          </cell>
          <cell r="AK71">
            <v>1379</v>
          </cell>
          <cell r="AL71">
            <v>1333</v>
          </cell>
          <cell r="AM71">
            <v>1465</v>
          </cell>
          <cell r="AN71">
            <v>1516</v>
          </cell>
          <cell r="AO71">
            <v>1553</v>
          </cell>
          <cell r="AP71">
            <v>1543</v>
          </cell>
          <cell r="AQ71">
            <v>688</v>
          </cell>
          <cell r="AR71">
            <v>642</v>
          </cell>
          <cell r="AS71">
            <v>472</v>
          </cell>
          <cell r="AT71">
            <v>326</v>
          </cell>
          <cell r="AU71">
            <v>283</v>
          </cell>
          <cell r="AV71">
            <v>317</v>
          </cell>
          <cell r="AW71">
            <v>314</v>
          </cell>
        </row>
        <row r="72">
          <cell r="B72">
            <v>578011</v>
          </cell>
          <cell r="C72" t="str">
            <v>Chodov (okres Karlovy Vary)</v>
          </cell>
          <cell r="D72" t="str">
            <v>Chodov (okres Karlovy Vary)</v>
          </cell>
          <cell r="E72">
            <v>115</v>
          </cell>
          <cell r="F72">
            <v>115</v>
          </cell>
          <cell r="G72">
            <v>124</v>
          </cell>
          <cell r="H72">
            <v>123</v>
          </cell>
          <cell r="I72">
            <v>114</v>
          </cell>
          <cell r="J72">
            <v>118</v>
          </cell>
          <cell r="K72">
            <v>109</v>
          </cell>
          <cell r="L72">
            <v>102</v>
          </cell>
          <cell r="M72">
            <v>112</v>
          </cell>
          <cell r="N72">
            <v>105</v>
          </cell>
          <cell r="O72">
            <v>103</v>
          </cell>
          <cell r="P72">
            <v>115</v>
          </cell>
          <cell r="Q72">
            <v>101</v>
          </cell>
          <cell r="R72">
            <v>106</v>
          </cell>
          <cell r="S72">
            <v>112</v>
          </cell>
          <cell r="T72">
            <v>115</v>
          </cell>
          <cell r="U72">
            <v>115</v>
          </cell>
          <cell r="V72">
            <v>112</v>
          </cell>
          <cell r="W72">
            <v>114</v>
          </cell>
          <cell r="X72">
            <v>113</v>
          </cell>
          <cell r="Y72">
            <v>158</v>
          </cell>
          <cell r="Z72">
            <v>159</v>
          </cell>
          <cell r="AA72">
            <v>153</v>
          </cell>
          <cell r="AB72">
            <v>146</v>
          </cell>
          <cell r="AC72">
            <v>137</v>
          </cell>
          <cell r="AD72">
            <v>119</v>
          </cell>
          <cell r="AE72">
            <v>111</v>
          </cell>
          <cell r="AF72">
            <v>107</v>
          </cell>
          <cell r="AG72">
            <v>101</v>
          </cell>
          <cell r="AH72">
            <v>107</v>
          </cell>
          <cell r="AI72">
            <v>100</v>
          </cell>
          <cell r="AJ72">
            <v>682</v>
          </cell>
          <cell r="AK72">
            <v>664</v>
          </cell>
          <cell r="AL72">
            <v>675</v>
          </cell>
          <cell r="AM72">
            <v>630</v>
          </cell>
          <cell r="AN72">
            <v>582</v>
          </cell>
          <cell r="AO72">
            <v>527</v>
          </cell>
          <cell r="AP72">
            <v>547</v>
          </cell>
          <cell r="AQ72">
            <v>191</v>
          </cell>
          <cell r="AR72">
            <v>280</v>
          </cell>
          <cell r="AS72">
            <v>186</v>
          </cell>
          <cell r="AT72">
            <v>124</v>
          </cell>
          <cell r="AU72">
            <v>113</v>
          </cell>
          <cell r="AV72">
            <v>131</v>
          </cell>
          <cell r="AW72">
            <v>129</v>
          </cell>
        </row>
        <row r="73">
          <cell r="B73">
            <v>560383</v>
          </cell>
          <cell r="C73" t="str">
            <v>Chodov (okres Sokolov)</v>
          </cell>
          <cell r="D73" t="str">
            <v>Chodov (okres Sokolov)</v>
          </cell>
          <cell r="E73">
            <v>13089</v>
          </cell>
          <cell r="F73">
            <v>13300</v>
          </cell>
          <cell r="G73">
            <v>12649</v>
          </cell>
          <cell r="H73">
            <v>12733</v>
          </cell>
          <cell r="I73">
            <v>13394</v>
          </cell>
          <cell r="J73">
            <v>12683</v>
          </cell>
          <cell r="K73">
            <v>15153</v>
          </cell>
          <cell r="L73">
            <v>15207</v>
          </cell>
          <cell r="M73">
            <v>15158</v>
          </cell>
          <cell r="N73">
            <v>15180</v>
          </cell>
          <cell r="O73">
            <v>15178</v>
          </cell>
          <cell r="P73">
            <v>13547</v>
          </cell>
          <cell r="Q73">
            <v>15130</v>
          </cell>
          <cell r="R73">
            <v>15156</v>
          </cell>
          <cell r="S73">
            <v>13671</v>
          </cell>
          <cell r="T73">
            <v>13816</v>
          </cell>
          <cell r="U73">
            <v>13940</v>
          </cell>
          <cell r="V73">
            <v>14045</v>
          </cell>
          <cell r="W73">
            <v>14110</v>
          </cell>
          <cell r="X73">
            <v>14244</v>
          </cell>
          <cell r="Y73">
            <v>14134</v>
          </cell>
          <cell r="Z73">
            <v>14144</v>
          </cell>
          <cell r="AA73">
            <v>14211</v>
          </cell>
          <cell r="AB73">
            <v>14321</v>
          </cell>
          <cell r="AC73">
            <v>14344</v>
          </cell>
          <cell r="AD73">
            <v>14433</v>
          </cell>
          <cell r="AE73">
            <v>14419</v>
          </cell>
          <cell r="AF73">
            <v>14454</v>
          </cell>
          <cell r="AG73">
            <v>14459</v>
          </cell>
          <cell r="AH73">
            <v>14560</v>
          </cell>
          <cell r="AI73">
            <v>15169</v>
          </cell>
          <cell r="AJ73">
            <v>2472</v>
          </cell>
          <cell r="AK73">
            <v>3389</v>
          </cell>
          <cell r="AL73">
            <v>5204</v>
          </cell>
          <cell r="AM73">
            <v>7104</v>
          </cell>
          <cell r="AN73">
            <v>7470</v>
          </cell>
          <cell r="AO73">
            <v>7035</v>
          </cell>
          <cell r="AP73">
            <v>7849</v>
          </cell>
          <cell r="AQ73">
            <v>3786</v>
          </cell>
          <cell r="AR73">
            <v>4551</v>
          </cell>
          <cell r="AS73">
            <v>11798</v>
          </cell>
          <cell r="AT73">
            <v>14704</v>
          </cell>
          <cell r="AU73">
            <v>14929</v>
          </cell>
          <cell r="AV73">
            <v>12609</v>
          </cell>
          <cell r="AW73">
            <v>12451</v>
          </cell>
        </row>
        <row r="74">
          <cell r="B74">
            <v>555207</v>
          </cell>
          <cell r="C74" t="str">
            <v>Chyše (okres Karlovy Vary)</v>
          </cell>
          <cell r="D74" t="str">
            <v>Chyše (okres Karlovy Vary)</v>
          </cell>
          <cell r="E74">
            <v>608</v>
          </cell>
          <cell r="F74">
            <v>591</v>
          </cell>
          <cell r="G74">
            <v>591</v>
          </cell>
          <cell r="H74">
            <v>590</v>
          </cell>
          <cell r="I74">
            <v>579</v>
          </cell>
          <cell r="J74">
            <v>588</v>
          </cell>
          <cell r="K74">
            <v>614</v>
          </cell>
          <cell r="L74">
            <v>623</v>
          </cell>
          <cell r="M74">
            <v>615</v>
          </cell>
          <cell r="N74">
            <v>609</v>
          </cell>
          <cell r="O74">
            <v>605</v>
          </cell>
          <cell r="P74">
            <v>575</v>
          </cell>
          <cell r="Q74">
            <v>599</v>
          </cell>
          <cell r="R74">
            <v>625</v>
          </cell>
          <cell r="S74">
            <v>585</v>
          </cell>
          <cell r="T74">
            <v>583</v>
          </cell>
          <cell r="U74">
            <v>589</v>
          </cell>
          <cell r="V74">
            <v>580</v>
          </cell>
          <cell r="W74">
            <v>584</v>
          </cell>
          <cell r="X74">
            <v>585</v>
          </cell>
          <cell r="Y74">
            <v>603</v>
          </cell>
          <cell r="Z74">
            <v>608</v>
          </cell>
          <cell r="AA74">
            <v>587</v>
          </cell>
          <cell r="AB74">
            <v>591</v>
          </cell>
          <cell r="AC74">
            <v>581</v>
          </cell>
          <cell r="AD74">
            <v>570</v>
          </cell>
          <cell r="AE74">
            <v>568</v>
          </cell>
          <cell r="AF74">
            <v>573</v>
          </cell>
          <cell r="AG74">
            <v>569</v>
          </cell>
          <cell r="AH74">
            <v>584</v>
          </cell>
          <cell r="AI74">
            <v>604</v>
          </cell>
          <cell r="AJ74">
            <v>2270</v>
          </cell>
          <cell r="AK74">
            <v>2370</v>
          </cell>
          <cell r="AL74">
            <v>2086</v>
          </cell>
          <cell r="AM74">
            <v>2051</v>
          </cell>
          <cell r="AN74">
            <v>1988</v>
          </cell>
          <cell r="AO74">
            <v>1807</v>
          </cell>
          <cell r="AP74">
            <v>1851</v>
          </cell>
          <cell r="AQ74">
            <v>987</v>
          </cell>
          <cell r="AR74">
            <v>885</v>
          </cell>
          <cell r="AS74">
            <v>826</v>
          </cell>
          <cell r="AT74">
            <v>695</v>
          </cell>
          <cell r="AU74">
            <v>646</v>
          </cell>
          <cell r="AV74">
            <v>583</v>
          </cell>
          <cell r="AW74">
            <v>586</v>
          </cell>
        </row>
        <row r="75">
          <cell r="B75">
            <v>555215</v>
          </cell>
          <cell r="C75" t="str">
            <v>Jáchymov (okres Karlovy Vary)</v>
          </cell>
          <cell r="D75" t="str">
            <v>Jáchymov (okres Karlovy Vary)</v>
          </cell>
          <cell r="E75">
            <v>2381</v>
          </cell>
          <cell r="F75">
            <v>2470</v>
          </cell>
          <cell r="G75">
            <v>2361</v>
          </cell>
          <cell r="H75">
            <v>2396</v>
          </cell>
          <cell r="I75">
            <v>2511</v>
          </cell>
          <cell r="J75">
            <v>2315</v>
          </cell>
          <cell r="K75">
            <v>2878</v>
          </cell>
          <cell r="L75">
            <v>2828</v>
          </cell>
          <cell r="M75">
            <v>2781</v>
          </cell>
          <cell r="N75">
            <v>2814</v>
          </cell>
          <cell r="O75">
            <v>2786</v>
          </cell>
          <cell r="P75">
            <v>2549</v>
          </cell>
          <cell r="Q75">
            <v>2762</v>
          </cell>
          <cell r="R75">
            <v>2668</v>
          </cell>
          <cell r="S75">
            <v>2586</v>
          </cell>
          <cell r="T75">
            <v>2664</v>
          </cell>
          <cell r="U75">
            <v>2755</v>
          </cell>
          <cell r="V75">
            <v>2815</v>
          </cell>
          <cell r="W75">
            <v>2902</v>
          </cell>
          <cell r="X75">
            <v>2958</v>
          </cell>
          <cell r="Y75">
            <v>3115</v>
          </cell>
          <cell r="Z75">
            <v>3194</v>
          </cell>
          <cell r="AA75">
            <v>3276</v>
          </cell>
          <cell r="AB75">
            <v>3255</v>
          </cell>
          <cell r="AC75">
            <v>3176</v>
          </cell>
          <cell r="AD75">
            <v>3197</v>
          </cell>
          <cell r="AE75">
            <v>3236</v>
          </cell>
          <cell r="AF75">
            <v>3143</v>
          </cell>
          <cell r="AG75">
            <v>3107</v>
          </cell>
          <cell r="AH75">
            <v>2917</v>
          </cell>
          <cell r="AI75">
            <v>2914</v>
          </cell>
          <cell r="AJ75">
            <v>6668</v>
          </cell>
          <cell r="AK75">
            <v>6709</v>
          </cell>
          <cell r="AL75">
            <v>7133</v>
          </cell>
          <cell r="AM75">
            <v>7487</v>
          </cell>
          <cell r="AN75">
            <v>7627</v>
          </cell>
          <cell r="AO75">
            <v>7173</v>
          </cell>
          <cell r="AP75">
            <v>7404</v>
          </cell>
          <cell r="AQ75">
            <v>6659</v>
          </cell>
          <cell r="AR75">
            <v>4608</v>
          </cell>
          <cell r="AS75">
            <v>3289</v>
          </cell>
          <cell r="AT75">
            <v>3375</v>
          </cell>
          <cell r="AU75">
            <v>2716</v>
          </cell>
          <cell r="AV75">
            <v>2304</v>
          </cell>
          <cell r="AW75">
            <v>2248</v>
          </cell>
        </row>
        <row r="76">
          <cell r="B76">
            <v>537926</v>
          </cell>
          <cell r="C76" t="str">
            <v>Jenišov (okres Karlovy Vary)</v>
          </cell>
          <cell r="D76" t="str">
            <v>Jenišov (okres Karlovy Vary)</v>
          </cell>
          <cell r="E76">
            <v>1057</v>
          </cell>
          <cell r="F76">
            <v>1086</v>
          </cell>
          <cell r="G76">
            <v>1167</v>
          </cell>
          <cell r="H76">
            <v>1134</v>
          </cell>
          <cell r="I76">
            <v>1079</v>
          </cell>
          <cell r="J76">
            <v>1041</v>
          </cell>
          <cell r="K76">
            <v>334</v>
          </cell>
          <cell r="L76">
            <v>317</v>
          </cell>
          <cell r="M76">
            <v>315</v>
          </cell>
          <cell r="N76">
            <v>302</v>
          </cell>
          <cell r="O76">
            <v>295</v>
          </cell>
          <cell r="P76">
            <v>996</v>
          </cell>
          <cell r="Q76">
            <v>299</v>
          </cell>
          <cell r="R76">
            <v>289</v>
          </cell>
          <cell r="S76">
            <v>972</v>
          </cell>
          <cell r="T76">
            <v>958</v>
          </cell>
          <cell r="U76">
            <v>938</v>
          </cell>
          <cell r="V76">
            <v>901</v>
          </cell>
          <cell r="W76">
            <v>840</v>
          </cell>
          <cell r="X76">
            <v>824</v>
          </cell>
          <cell r="Y76">
            <v>823</v>
          </cell>
          <cell r="Z76">
            <v>757</v>
          </cell>
          <cell r="AA76">
            <v>676</v>
          </cell>
          <cell r="AB76">
            <v>588</v>
          </cell>
          <cell r="AC76">
            <v>536</v>
          </cell>
          <cell r="AD76">
            <v>462</v>
          </cell>
          <cell r="AE76">
            <v>429</v>
          </cell>
          <cell r="AF76">
            <v>393</v>
          </cell>
          <cell r="AG76">
            <v>361</v>
          </cell>
          <cell r="AH76">
            <v>322</v>
          </cell>
          <cell r="AI76">
            <v>338</v>
          </cell>
          <cell r="AJ76">
            <v>628</v>
          </cell>
          <cell r="AK76">
            <v>778</v>
          </cell>
          <cell r="AL76">
            <v>895</v>
          </cell>
          <cell r="AM76">
            <v>1203</v>
          </cell>
          <cell r="AN76">
            <v>1338</v>
          </cell>
          <cell r="AO76">
            <v>1122</v>
          </cell>
          <cell r="AP76">
            <v>1406</v>
          </cell>
          <cell r="AQ76">
            <v>496</v>
          </cell>
          <cell r="AR76">
            <v>379</v>
          </cell>
          <cell r="AS76">
            <v>332</v>
          </cell>
          <cell r="AT76">
            <v>294</v>
          </cell>
          <cell r="AU76">
            <v>306</v>
          </cell>
          <cell r="AV76">
            <v>1124</v>
          </cell>
          <cell r="AW76">
            <v>1116</v>
          </cell>
        </row>
        <row r="77">
          <cell r="B77">
            <v>560413</v>
          </cell>
          <cell r="C77" t="str">
            <v>Jindřichovice (okres Sokolov)</v>
          </cell>
          <cell r="D77" t="str">
            <v>Jindřichovice (okres Sokolov)</v>
          </cell>
          <cell r="E77">
            <v>505</v>
          </cell>
          <cell r="F77">
            <v>504</v>
          </cell>
          <cell r="G77">
            <v>521</v>
          </cell>
          <cell r="H77">
            <v>516</v>
          </cell>
          <cell r="I77">
            <v>491</v>
          </cell>
          <cell r="J77">
            <v>506</v>
          </cell>
          <cell r="K77">
            <v>383</v>
          </cell>
          <cell r="L77">
            <v>381</v>
          </cell>
          <cell r="M77">
            <v>380</v>
          </cell>
          <cell r="N77">
            <v>364</v>
          </cell>
          <cell r="O77">
            <v>361</v>
          </cell>
          <cell r="P77">
            <v>480</v>
          </cell>
          <cell r="Q77">
            <v>358</v>
          </cell>
          <cell r="R77">
            <v>336</v>
          </cell>
          <cell r="S77">
            <v>478</v>
          </cell>
          <cell r="T77">
            <v>476</v>
          </cell>
          <cell r="U77">
            <v>475</v>
          </cell>
          <cell r="V77">
            <v>462</v>
          </cell>
          <cell r="W77">
            <v>481</v>
          </cell>
          <cell r="X77">
            <v>488</v>
          </cell>
          <cell r="Y77">
            <v>506</v>
          </cell>
          <cell r="Z77">
            <v>513</v>
          </cell>
          <cell r="AA77">
            <v>504</v>
          </cell>
          <cell r="AB77">
            <v>492</v>
          </cell>
          <cell r="AC77">
            <v>487</v>
          </cell>
          <cell r="AD77">
            <v>481</v>
          </cell>
          <cell r="AE77">
            <v>462</v>
          </cell>
          <cell r="AF77">
            <v>439</v>
          </cell>
          <cell r="AG77">
            <v>418</v>
          </cell>
          <cell r="AH77">
            <v>403</v>
          </cell>
          <cell r="AI77">
            <v>386</v>
          </cell>
          <cell r="AJ77">
            <v>3597</v>
          </cell>
          <cell r="AK77">
            <v>3679</v>
          </cell>
          <cell r="AL77">
            <v>3570</v>
          </cell>
          <cell r="AM77">
            <v>3649</v>
          </cell>
          <cell r="AN77">
            <v>3696</v>
          </cell>
          <cell r="AO77">
            <v>3380</v>
          </cell>
          <cell r="AP77">
            <v>3400</v>
          </cell>
          <cell r="AQ77">
            <v>892</v>
          </cell>
          <cell r="AR77">
            <v>779</v>
          </cell>
          <cell r="AS77">
            <v>551</v>
          </cell>
          <cell r="AT77">
            <v>394</v>
          </cell>
          <cell r="AU77">
            <v>318</v>
          </cell>
          <cell r="AV77">
            <v>533</v>
          </cell>
          <cell r="AW77">
            <v>543</v>
          </cell>
        </row>
        <row r="78">
          <cell r="B78">
            <v>511587</v>
          </cell>
          <cell r="C78" t="str">
            <v>Josefov (okres Sokolov)</v>
          </cell>
          <cell r="D78" t="str">
            <v>Josefov (okres Sokolov)</v>
          </cell>
          <cell r="E78">
            <v>384</v>
          </cell>
          <cell r="F78">
            <v>383</v>
          </cell>
          <cell r="G78">
            <v>418</v>
          </cell>
          <cell r="H78">
            <v>404</v>
          </cell>
          <cell r="I78">
            <v>384</v>
          </cell>
          <cell r="J78">
            <v>403</v>
          </cell>
          <cell r="K78">
            <v>302</v>
          </cell>
          <cell r="L78">
            <v>300</v>
          </cell>
          <cell r="M78">
            <v>300</v>
          </cell>
          <cell r="N78">
            <v>294</v>
          </cell>
          <cell r="O78">
            <v>295</v>
          </cell>
          <cell r="P78">
            <v>367</v>
          </cell>
          <cell r="Q78">
            <v>284</v>
          </cell>
          <cell r="R78">
            <v>274</v>
          </cell>
          <cell r="S78">
            <v>364</v>
          </cell>
          <cell r="T78">
            <v>358</v>
          </cell>
          <cell r="U78">
            <v>365</v>
          </cell>
          <cell r="V78">
            <v>355</v>
          </cell>
          <cell r="W78">
            <v>358</v>
          </cell>
          <cell r="X78">
            <v>354</v>
          </cell>
          <cell r="Y78">
            <v>328</v>
          </cell>
          <cell r="Z78">
            <v>332</v>
          </cell>
          <cell r="AA78">
            <v>315</v>
          </cell>
          <cell r="AB78">
            <v>307</v>
          </cell>
          <cell r="AC78">
            <v>302</v>
          </cell>
          <cell r="AD78">
            <v>305</v>
          </cell>
          <cell r="AE78">
            <v>300</v>
          </cell>
          <cell r="AF78">
            <v>295</v>
          </cell>
          <cell r="AG78">
            <v>302</v>
          </cell>
          <cell r="AH78">
            <v>304</v>
          </cell>
          <cell r="AI78">
            <v>312</v>
          </cell>
          <cell r="AJ78">
            <v>732</v>
          </cell>
          <cell r="AK78">
            <v>845</v>
          </cell>
          <cell r="AL78">
            <v>822</v>
          </cell>
          <cell r="AM78">
            <v>991</v>
          </cell>
          <cell r="AN78">
            <v>971</v>
          </cell>
          <cell r="AO78">
            <v>932</v>
          </cell>
          <cell r="AP78">
            <v>1012</v>
          </cell>
          <cell r="AQ78">
            <v>523</v>
          </cell>
          <cell r="AR78">
            <v>531</v>
          </cell>
          <cell r="AS78">
            <v>399</v>
          </cell>
          <cell r="AT78">
            <v>298</v>
          </cell>
          <cell r="AU78">
            <v>277</v>
          </cell>
          <cell r="AV78">
            <v>421</v>
          </cell>
          <cell r="AW78">
            <v>442</v>
          </cell>
        </row>
        <row r="79">
          <cell r="B79">
            <v>560421</v>
          </cell>
          <cell r="C79" t="str">
            <v>Kaceřov (okres Sokolov)</v>
          </cell>
          <cell r="D79" t="str">
            <v>Kaceřov (okres Sokolov)</v>
          </cell>
          <cell r="E79">
            <v>434</v>
          </cell>
          <cell r="F79">
            <v>442</v>
          </cell>
          <cell r="G79">
            <v>417</v>
          </cell>
          <cell r="H79">
            <v>416</v>
          </cell>
          <cell r="I79">
            <v>436</v>
          </cell>
          <cell r="J79">
            <v>424</v>
          </cell>
          <cell r="K79">
            <v>408</v>
          </cell>
          <cell r="L79">
            <v>405</v>
          </cell>
          <cell r="M79">
            <v>389</v>
          </cell>
          <cell r="N79">
            <v>382</v>
          </cell>
          <cell r="O79">
            <v>383</v>
          </cell>
          <cell r="P79">
            <v>448</v>
          </cell>
          <cell r="Q79">
            <v>379</v>
          </cell>
          <cell r="R79">
            <v>378</v>
          </cell>
          <cell r="S79">
            <v>453</v>
          </cell>
          <cell r="T79">
            <v>456</v>
          </cell>
          <cell r="U79">
            <v>450</v>
          </cell>
          <cell r="V79">
            <v>439</v>
          </cell>
          <cell r="W79">
            <v>441</v>
          </cell>
          <cell r="X79">
            <v>442</v>
          </cell>
          <cell r="Y79">
            <v>448</v>
          </cell>
          <cell r="Z79">
            <v>438</v>
          </cell>
          <cell r="AA79">
            <v>443</v>
          </cell>
          <cell r="AB79">
            <v>437</v>
          </cell>
          <cell r="AC79">
            <v>429</v>
          </cell>
          <cell r="AD79">
            <v>416</v>
          </cell>
          <cell r="AE79">
            <v>421</v>
          </cell>
          <cell r="AF79">
            <v>423</v>
          </cell>
          <cell r="AG79">
            <v>418</v>
          </cell>
          <cell r="AH79">
            <v>427</v>
          </cell>
          <cell r="AI79">
            <v>433</v>
          </cell>
          <cell r="AJ79">
            <v>635</v>
          </cell>
          <cell r="AK79">
            <v>584</v>
          </cell>
          <cell r="AL79">
            <v>537</v>
          </cell>
          <cell r="AM79">
            <v>557</v>
          </cell>
          <cell r="AN79">
            <v>691</v>
          </cell>
          <cell r="AO79">
            <v>701</v>
          </cell>
          <cell r="AP79">
            <v>781</v>
          </cell>
          <cell r="AQ79">
            <v>454</v>
          </cell>
          <cell r="AR79">
            <v>697</v>
          </cell>
          <cell r="AS79">
            <v>504</v>
          </cell>
          <cell r="AT79">
            <v>411</v>
          </cell>
          <cell r="AU79">
            <v>391</v>
          </cell>
          <cell r="AV79">
            <v>416</v>
          </cell>
          <cell r="AW79">
            <v>404</v>
          </cell>
        </row>
        <row r="80">
          <cell r="B80">
            <v>554961</v>
          </cell>
          <cell r="C80" t="str">
            <v>Karlovy Vary (okres Karlovy Vary)</v>
          </cell>
          <cell r="D80" t="str">
            <v>Karlovy Vary (okres Karlovy Vary)</v>
          </cell>
          <cell r="E80">
            <v>48319</v>
          </cell>
          <cell r="F80">
            <v>48479</v>
          </cell>
          <cell r="G80">
            <v>49353</v>
          </cell>
          <cell r="H80">
            <v>49043</v>
          </cell>
          <cell r="I80">
            <v>48501</v>
          </cell>
          <cell r="J80">
            <v>45500</v>
          </cell>
          <cell r="K80">
            <v>54487</v>
          </cell>
          <cell r="L80">
            <v>54671</v>
          </cell>
          <cell r="M80">
            <v>54850</v>
          </cell>
          <cell r="N80">
            <v>55032</v>
          </cell>
          <cell r="O80">
            <v>55298</v>
          </cell>
          <cell r="P80">
            <v>48776</v>
          </cell>
          <cell r="Q80">
            <v>55532</v>
          </cell>
          <cell r="R80">
            <v>55861</v>
          </cell>
          <cell r="S80">
            <v>49046</v>
          </cell>
          <cell r="T80">
            <v>49326</v>
          </cell>
          <cell r="U80">
            <v>49781</v>
          </cell>
          <cell r="V80">
            <v>49864</v>
          </cell>
          <cell r="W80">
            <v>50172</v>
          </cell>
          <cell r="X80">
            <v>50594</v>
          </cell>
          <cell r="Y80">
            <v>51115</v>
          </cell>
          <cell r="Z80">
            <v>51320</v>
          </cell>
          <cell r="AA80">
            <v>51459</v>
          </cell>
          <cell r="AB80">
            <v>51202</v>
          </cell>
          <cell r="AC80">
            <v>50691</v>
          </cell>
          <cell r="AD80">
            <v>50893</v>
          </cell>
          <cell r="AE80">
            <v>51537</v>
          </cell>
          <cell r="AF80">
            <v>51807</v>
          </cell>
          <cell r="AG80">
            <v>52359</v>
          </cell>
          <cell r="AH80">
            <v>52906</v>
          </cell>
          <cell r="AI80">
            <v>54150</v>
          </cell>
          <cell r="AJ80">
            <v>14185</v>
          </cell>
          <cell r="AK80">
            <v>22318</v>
          </cell>
          <cell r="AL80">
            <v>28629</v>
          </cell>
          <cell r="AM80">
            <v>42653</v>
          </cell>
          <cell r="AN80">
            <v>52808</v>
          </cell>
          <cell r="AO80">
            <v>53112</v>
          </cell>
          <cell r="AP80">
            <v>63506</v>
          </cell>
          <cell r="AQ80">
            <v>41136</v>
          </cell>
          <cell r="AR80">
            <v>50034</v>
          </cell>
          <cell r="AS80">
            <v>52310</v>
          </cell>
          <cell r="AT80">
            <v>56992</v>
          </cell>
          <cell r="AU80">
            <v>56054</v>
          </cell>
          <cell r="AV80">
            <v>49073</v>
          </cell>
          <cell r="AW80">
            <v>48788</v>
          </cell>
        </row>
        <row r="81">
          <cell r="B81">
            <v>555258</v>
          </cell>
          <cell r="C81" t="str">
            <v>Kolová (okres Karlovy Vary)</v>
          </cell>
          <cell r="D81" t="str">
            <v>Kolová (okres Karlovy Vary)</v>
          </cell>
          <cell r="E81">
            <v>791</v>
          </cell>
          <cell r="F81">
            <v>790</v>
          </cell>
          <cell r="G81">
            <v>913</v>
          </cell>
          <cell r="H81">
            <v>874</v>
          </cell>
          <cell r="I81">
            <v>763</v>
          </cell>
          <cell r="J81">
            <v>824</v>
          </cell>
          <cell r="K81">
            <v>979</v>
          </cell>
          <cell r="L81">
            <v>963</v>
          </cell>
          <cell r="M81">
            <v>944</v>
          </cell>
          <cell r="N81">
            <v>929</v>
          </cell>
          <cell r="O81">
            <v>900</v>
          </cell>
          <cell r="P81">
            <v>731</v>
          </cell>
          <cell r="Q81">
            <v>898</v>
          </cell>
          <cell r="R81">
            <v>895</v>
          </cell>
          <cell r="S81">
            <v>701</v>
          </cell>
          <cell r="T81">
            <v>713</v>
          </cell>
          <cell r="U81">
            <v>709</v>
          </cell>
          <cell r="V81">
            <v>715</v>
          </cell>
          <cell r="W81">
            <v>707</v>
          </cell>
          <cell r="X81">
            <v>706</v>
          </cell>
          <cell r="Y81">
            <v>698</v>
          </cell>
          <cell r="Z81">
            <v>692</v>
          </cell>
          <cell r="AA81">
            <v>701</v>
          </cell>
          <cell r="AB81">
            <v>687</v>
          </cell>
          <cell r="AC81">
            <v>661</v>
          </cell>
          <cell r="AD81">
            <v>646</v>
          </cell>
          <cell r="AE81">
            <v>629</v>
          </cell>
          <cell r="AF81">
            <v>622</v>
          </cell>
          <cell r="AG81">
            <v>582</v>
          </cell>
          <cell r="AH81">
            <v>573</v>
          </cell>
          <cell r="AI81">
            <v>566</v>
          </cell>
          <cell r="AJ81">
            <v>787</v>
          </cell>
          <cell r="AK81">
            <v>856</v>
          </cell>
          <cell r="AL81">
            <v>931</v>
          </cell>
          <cell r="AM81">
            <v>1001</v>
          </cell>
          <cell r="AN81">
            <v>1056</v>
          </cell>
          <cell r="AO81">
            <v>947</v>
          </cell>
          <cell r="AP81">
            <v>971</v>
          </cell>
          <cell r="AQ81">
            <v>476</v>
          </cell>
          <cell r="AR81">
            <v>503</v>
          </cell>
          <cell r="AS81">
            <v>481</v>
          </cell>
          <cell r="AT81">
            <v>453</v>
          </cell>
          <cell r="AU81">
            <v>487</v>
          </cell>
          <cell r="AV81">
            <v>924</v>
          </cell>
          <cell r="AW81">
            <v>952</v>
          </cell>
        </row>
        <row r="82">
          <cell r="B82">
            <v>560456</v>
          </cell>
          <cell r="C82" t="str">
            <v>Krajková (okres Sokolov)</v>
          </cell>
          <cell r="D82" t="str">
            <v>Krajková (okres Sokolov)</v>
          </cell>
          <cell r="E82">
            <v>963</v>
          </cell>
          <cell r="F82">
            <v>967</v>
          </cell>
          <cell r="G82">
            <v>924</v>
          </cell>
          <cell r="H82">
            <v>919</v>
          </cell>
          <cell r="I82">
            <v>962</v>
          </cell>
          <cell r="J82">
            <v>915</v>
          </cell>
          <cell r="K82">
            <v>843</v>
          </cell>
          <cell r="L82">
            <v>837</v>
          </cell>
          <cell r="M82">
            <v>854</v>
          </cell>
          <cell r="N82">
            <v>862</v>
          </cell>
          <cell r="O82">
            <v>832</v>
          </cell>
          <cell r="P82">
            <v>943</v>
          </cell>
          <cell r="Q82">
            <v>807</v>
          </cell>
          <cell r="R82">
            <v>805</v>
          </cell>
          <cell r="S82">
            <v>923</v>
          </cell>
          <cell r="T82">
            <v>906</v>
          </cell>
          <cell r="U82">
            <v>911</v>
          </cell>
          <cell r="V82">
            <v>909</v>
          </cell>
          <cell r="W82">
            <v>900</v>
          </cell>
          <cell r="X82">
            <v>905</v>
          </cell>
          <cell r="Y82">
            <v>879</v>
          </cell>
          <cell r="Z82">
            <v>890</v>
          </cell>
          <cell r="AA82">
            <v>881</v>
          </cell>
          <cell r="AB82">
            <v>897</v>
          </cell>
          <cell r="AC82">
            <v>893</v>
          </cell>
          <cell r="AD82">
            <v>928</v>
          </cell>
          <cell r="AE82">
            <v>894</v>
          </cell>
          <cell r="AF82">
            <v>864</v>
          </cell>
          <cell r="AG82">
            <v>869</v>
          </cell>
          <cell r="AH82">
            <v>838</v>
          </cell>
          <cell r="AI82">
            <v>847</v>
          </cell>
          <cell r="AJ82">
            <v>3558</v>
          </cell>
          <cell r="AK82">
            <v>3630</v>
          </cell>
          <cell r="AL82">
            <v>2935</v>
          </cell>
          <cell r="AM82">
            <v>3069</v>
          </cell>
          <cell r="AN82">
            <v>3238</v>
          </cell>
          <cell r="AO82">
            <v>3098</v>
          </cell>
          <cell r="AP82">
            <v>3324</v>
          </cell>
          <cell r="AQ82">
            <v>1381</v>
          </cell>
          <cell r="AR82">
            <v>1106</v>
          </cell>
          <cell r="AS82">
            <v>898</v>
          </cell>
          <cell r="AT82">
            <v>866</v>
          </cell>
          <cell r="AU82">
            <v>776</v>
          </cell>
          <cell r="AV82">
            <v>911</v>
          </cell>
          <cell r="AW82">
            <v>920</v>
          </cell>
        </row>
        <row r="83">
          <cell r="B83">
            <v>560464</v>
          </cell>
          <cell r="C83" t="str">
            <v>Královské Poříčí (okres Sokolov)</v>
          </cell>
          <cell r="D83" t="str">
            <v>Královské Poříčí (okres Sokolov)</v>
          </cell>
          <cell r="E83">
            <v>777</v>
          </cell>
          <cell r="F83">
            <v>789</v>
          </cell>
          <cell r="G83">
            <v>761</v>
          </cell>
          <cell r="H83">
            <v>774</v>
          </cell>
          <cell r="I83">
            <v>785</v>
          </cell>
          <cell r="J83">
            <v>775</v>
          </cell>
          <cell r="K83">
            <v>694</v>
          </cell>
          <cell r="L83">
            <v>666</v>
          </cell>
          <cell r="M83">
            <v>681</v>
          </cell>
          <cell r="N83">
            <v>674</v>
          </cell>
          <cell r="O83">
            <v>667</v>
          </cell>
          <cell r="P83">
            <v>796</v>
          </cell>
          <cell r="Q83">
            <v>662</v>
          </cell>
          <cell r="R83">
            <v>648</v>
          </cell>
          <cell r="S83">
            <v>799</v>
          </cell>
          <cell r="T83">
            <v>811</v>
          </cell>
          <cell r="U83">
            <v>819</v>
          </cell>
          <cell r="V83">
            <v>836</v>
          </cell>
          <cell r="W83">
            <v>852</v>
          </cell>
          <cell r="X83">
            <v>846</v>
          </cell>
          <cell r="Y83">
            <v>862</v>
          </cell>
          <cell r="Z83">
            <v>862</v>
          </cell>
          <cell r="AA83">
            <v>843</v>
          </cell>
          <cell r="AB83">
            <v>820</v>
          </cell>
          <cell r="AC83">
            <v>804</v>
          </cell>
          <cell r="AD83">
            <v>780</v>
          </cell>
          <cell r="AE83">
            <v>762</v>
          </cell>
          <cell r="AF83">
            <v>728</v>
          </cell>
          <cell r="AG83">
            <v>711</v>
          </cell>
          <cell r="AH83">
            <v>711</v>
          </cell>
          <cell r="AI83">
            <v>696</v>
          </cell>
          <cell r="AJ83">
            <v>839</v>
          </cell>
          <cell r="AK83">
            <v>897</v>
          </cell>
          <cell r="AL83">
            <v>1486</v>
          </cell>
          <cell r="AM83">
            <v>2184</v>
          </cell>
          <cell r="AN83">
            <v>2362</v>
          </cell>
          <cell r="AO83">
            <v>2543</v>
          </cell>
          <cell r="AP83">
            <v>2634</v>
          </cell>
          <cell r="AQ83">
            <v>2174</v>
          </cell>
          <cell r="AR83">
            <v>2163</v>
          </cell>
          <cell r="AS83">
            <v>1529</v>
          </cell>
          <cell r="AT83">
            <v>981</v>
          </cell>
          <cell r="AU83">
            <v>633</v>
          </cell>
          <cell r="AV83">
            <v>766</v>
          </cell>
          <cell r="AW83">
            <v>768</v>
          </cell>
        </row>
        <row r="84">
          <cell r="B84">
            <v>560472</v>
          </cell>
          <cell r="C84" t="str">
            <v>Kraslice (okres Sokolov)</v>
          </cell>
          <cell r="D84" t="str">
            <v>Kraslice (okres Sokolov)</v>
          </cell>
          <cell r="E84">
            <v>6705</v>
          </cell>
          <cell r="F84">
            <v>6767</v>
          </cell>
          <cell r="G84">
            <v>6573</v>
          </cell>
          <cell r="H84">
            <v>6614</v>
          </cell>
          <cell r="I84">
            <v>6749</v>
          </cell>
          <cell r="J84">
            <v>6537</v>
          </cell>
          <cell r="K84">
            <v>7379</v>
          </cell>
          <cell r="L84">
            <v>7414</v>
          </cell>
          <cell r="M84">
            <v>7453</v>
          </cell>
          <cell r="N84">
            <v>7504</v>
          </cell>
          <cell r="O84">
            <v>7556</v>
          </cell>
          <cell r="P84">
            <v>6802</v>
          </cell>
          <cell r="Q84">
            <v>7664</v>
          </cell>
          <cell r="R84">
            <v>7651</v>
          </cell>
          <cell r="S84">
            <v>6802</v>
          </cell>
          <cell r="T84">
            <v>6885</v>
          </cell>
          <cell r="U84">
            <v>6920</v>
          </cell>
          <cell r="V84">
            <v>6952</v>
          </cell>
          <cell r="W84">
            <v>6932</v>
          </cell>
          <cell r="X84">
            <v>6905</v>
          </cell>
          <cell r="Y84">
            <v>7053</v>
          </cell>
          <cell r="Z84">
            <v>7074</v>
          </cell>
          <cell r="AA84">
            <v>7108</v>
          </cell>
          <cell r="AB84">
            <v>7120</v>
          </cell>
          <cell r="AC84">
            <v>7197</v>
          </cell>
          <cell r="AD84">
            <v>7204</v>
          </cell>
          <cell r="AE84">
            <v>7155</v>
          </cell>
          <cell r="AF84">
            <v>7159</v>
          </cell>
          <cell r="AG84">
            <v>7128</v>
          </cell>
          <cell r="AH84">
            <v>7222</v>
          </cell>
          <cell r="AI84">
            <v>7323</v>
          </cell>
          <cell r="AJ84">
            <v>12006</v>
          </cell>
          <cell r="AK84">
            <v>14176</v>
          </cell>
          <cell r="AL84">
            <v>17147</v>
          </cell>
          <cell r="AM84">
            <v>19264</v>
          </cell>
          <cell r="AN84">
            <v>22418</v>
          </cell>
          <cell r="AO84">
            <v>20419</v>
          </cell>
          <cell r="AP84">
            <v>22310</v>
          </cell>
          <cell r="AQ84">
            <v>7383</v>
          </cell>
          <cell r="AR84">
            <v>7617</v>
          </cell>
          <cell r="AS84">
            <v>7128</v>
          </cell>
          <cell r="AT84">
            <v>7371</v>
          </cell>
          <cell r="AU84">
            <v>7604</v>
          </cell>
          <cell r="AV84">
            <v>6432</v>
          </cell>
          <cell r="AW84">
            <v>6369</v>
          </cell>
        </row>
        <row r="85">
          <cell r="B85">
            <v>538795</v>
          </cell>
          <cell r="C85" t="str">
            <v>Krásná (okres Cheb)</v>
          </cell>
          <cell r="D85" t="str">
            <v>Krásná (okres Cheb)</v>
          </cell>
          <cell r="E85">
            <v>628</v>
          </cell>
          <cell r="F85">
            <v>612</v>
          </cell>
          <cell r="G85">
            <v>625</v>
          </cell>
          <cell r="H85">
            <v>626</v>
          </cell>
          <cell r="I85">
            <v>579</v>
          </cell>
          <cell r="J85">
            <v>614</v>
          </cell>
          <cell r="K85">
            <v>471</v>
          </cell>
          <cell r="L85">
            <v>496</v>
          </cell>
          <cell r="M85">
            <v>504</v>
          </cell>
          <cell r="N85">
            <v>507</v>
          </cell>
          <cell r="O85">
            <v>509</v>
          </cell>
          <cell r="P85">
            <v>574</v>
          </cell>
          <cell r="Q85">
            <v>506</v>
          </cell>
          <cell r="R85">
            <v>491</v>
          </cell>
          <cell r="S85">
            <v>571</v>
          </cell>
          <cell r="T85">
            <v>549</v>
          </cell>
          <cell r="U85">
            <v>538</v>
          </cell>
          <cell r="V85">
            <v>519</v>
          </cell>
          <cell r="W85">
            <v>538</v>
          </cell>
          <cell r="X85">
            <v>524</v>
          </cell>
          <cell r="Y85">
            <v>517</v>
          </cell>
          <cell r="Z85">
            <v>504</v>
          </cell>
          <cell r="AA85">
            <v>481</v>
          </cell>
          <cell r="AB85">
            <v>462</v>
          </cell>
          <cell r="AC85">
            <v>433</v>
          </cell>
          <cell r="AD85">
            <v>426</v>
          </cell>
          <cell r="AE85">
            <v>440</v>
          </cell>
          <cell r="AF85">
            <v>418</v>
          </cell>
          <cell r="AG85">
            <v>408</v>
          </cell>
          <cell r="AH85">
            <v>428</v>
          </cell>
          <cell r="AI85">
            <v>468</v>
          </cell>
          <cell r="AJ85">
            <v>2189</v>
          </cell>
          <cell r="AK85">
            <v>2479</v>
          </cell>
          <cell r="AL85">
            <v>2560</v>
          </cell>
          <cell r="AM85">
            <v>2993</v>
          </cell>
          <cell r="AN85">
            <v>3433</v>
          </cell>
          <cell r="AO85">
            <v>2406</v>
          </cell>
          <cell r="AP85">
            <v>3217</v>
          </cell>
          <cell r="AQ85">
            <v>641</v>
          </cell>
          <cell r="AR85">
            <v>617</v>
          </cell>
          <cell r="AS85">
            <v>506</v>
          </cell>
          <cell r="AT85">
            <v>446</v>
          </cell>
          <cell r="AU85">
            <v>434</v>
          </cell>
          <cell r="AV85">
            <v>625</v>
          </cell>
          <cell r="AW85">
            <v>632</v>
          </cell>
        </row>
        <row r="86">
          <cell r="B86">
            <v>555304</v>
          </cell>
          <cell r="C86" t="str">
            <v>Krásné Údolí (okres Karlovy Vary)</v>
          </cell>
          <cell r="D86" t="str">
            <v>Krásné Údolí (okres Karlovy Vary)</v>
          </cell>
          <cell r="E86">
            <v>388</v>
          </cell>
          <cell r="F86">
            <v>400</v>
          </cell>
          <cell r="G86">
            <v>390</v>
          </cell>
          <cell r="H86">
            <v>389</v>
          </cell>
          <cell r="I86">
            <v>400</v>
          </cell>
          <cell r="J86">
            <v>389</v>
          </cell>
          <cell r="K86">
            <v>462</v>
          </cell>
          <cell r="L86">
            <v>452</v>
          </cell>
          <cell r="M86">
            <v>464</v>
          </cell>
          <cell r="N86">
            <v>474</v>
          </cell>
          <cell r="O86">
            <v>470</v>
          </cell>
          <cell r="P86">
            <v>396</v>
          </cell>
          <cell r="Q86">
            <v>481</v>
          </cell>
          <cell r="R86">
            <v>477</v>
          </cell>
          <cell r="S86">
            <v>398</v>
          </cell>
          <cell r="T86">
            <v>408</v>
          </cell>
          <cell r="U86">
            <v>408</v>
          </cell>
          <cell r="V86">
            <v>426</v>
          </cell>
          <cell r="W86">
            <v>421</v>
          </cell>
          <cell r="X86">
            <v>421</v>
          </cell>
          <cell r="Y86">
            <v>434</v>
          </cell>
          <cell r="Z86">
            <v>431</v>
          </cell>
          <cell r="AA86">
            <v>441</v>
          </cell>
          <cell r="AB86">
            <v>442</v>
          </cell>
          <cell r="AC86">
            <v>446</v>
          </cell>
          <cell r="AD86">
            <v>443</v>
          </cell>
          <cell r="AE86">
            <v>441</v>
          </cell>
          <cell r="AF86">
            <v>451</v>
          </cell>
          <cell r="AG86">
            <v>441</v>
          </cell>
          <cell r="AH86">
            <v>432</v>
          </cell>
          <cell r="AI86">
            <v>467</v>
          </cell>
          <cell r="AJ86">
            <v>770</v>
          </cell>
          <cell r="AK86">
            <v>820</v>
          </cell>
          <cell r="AL86">
            <v>774</v>
          </cell>
          <cell r="AM86">
            <v>760</v>
          </cell>
          <cell r="AN86">
            <v>716</v>
          </cell>
          <cell r="AO86">
            <v>653</v>
          </cell>
          <cell r="AP86">
            <v>607</v>
          </cell>
          <cell r="AQ86">
            <v>268</v>
          </cell>
          <cell r="AR86">
            <v>306</v>
          </cell>
          <cell r="AS86">
            <v>422</v>
          </cell>
          <cell r="AT86">
            <v>532</v>
          </cell>
          <cell r="AU86">
            <v>451</v>
          </cell>
          <cell r="AV86">
            <v>392</v>
          </cell>
          <cell r="AW86">
            <v>389</v>
          </cell>
        </row>
        <row r="87">
          <cell r="B87">
            <v>538337</v>
          </cell>
          <cell r="C87" t="str">
            <v>Krásno (okres Sokolov)</v>
          </cell>
          <cell r="D87" t="str">
            <v>Krásno (okres Sokolov)</v>
          </cell>
          <cell r="E87">
            <v>716</v>
          </cell>
          <cell r="F87">
            <v>715</v>
          </cell>
          <cell r="G87">
            <v>701</v>
          </cell>
          <cell r="H87">
            <v>700</v>
          </cell>
          <cell r="I87">
            <v>709</v>
          </cell>
          <cell r="J87">
            <v>689</v>
          </cell>
          <cell r="K87">
            <v>617</v>
          </cell>
          <cell r="L87">
            <v>596</v>
          </cell>
          <cell r="M87">
            <v>588</v>
          </cell>
          <cell r="N87">
            <v>590</v>
          </cell>
          <cell r="O87">
            <v>580</v>
          </cell>
          <cell r="P87">
            <v>697</v>
          </cell>
          <cell r="Q87">
            <v>585</v>
          </cell>
          <cell r="R87">
            <v>597</v>
          </cell>
          <cell r="S87">
            <v>692</v>
          </cell>
          <cell r="T87">
            <v>708</v>
          </cell>
          <cell r="U87">
            <v>715</v>
          </cell>
          <cell r="V87">
            <v>730</v>
          </cell>
          <cell r="W87">
            <v>736</v>
          </cell>
          <cell r="X87">
            <v>737</v>
          </cell>
          <cell r="Y87">
            <v>751</v>
          </cell>
          <cell r="Z87">
            <v>726</v>
          </cell>
          <cell r="AA87">
            <v>724</v>
          </cell>
          <cell r="AB87">
            <v>725</v>
          </cell>
          <cell r="AC87">
            <v>716</v>
          </cell>
          <cell r="AD87">
            <v>713</v>
          </cell>
          <cell r="AE87">
            <v>701</v>
          </cell>
          <cell r="AF87">
            <v>670</v>
          </cell>
          <cell r="AG87">
            <v>658</v>
          </cell>
          <cell r="AH87">
            <v>640</v>
          </cell>
          <cell r="AI87">
            <v>630</v>
          </cell>
          <cell r="AJ87">
            <v>4173</v>
          </cell>
          <cell r="AK87">
            <v>4230</v>
          </cell>
          <cell r="AL87">
            <v>4141</v>
          </cell>
          <cell r="AM87">
            <v>3996</v>
          </cell>
          <cell r="AN87">
            <v>3445</v>
          </cell>
          <cell r="AO87">
            <v>3110</v>
          </cell>
          <cell r="AP87">
            <v>2927</v>
          </cell>
          <cell r="AQ87">
            <v>1234</v>
          </cell>
          <cell r="AR87">
            <v>1085</v>
          </cell>
          <cell r="AS87">
            <v>784</v>
          </cell>
          <cell r="AT87">
            <v>552</v>
          </cell>
          <cell r="AU87">
            <v>557</v>
          </cell>
          <cell r="AV87">
            <v>702</v>
          </cell>
          <cell r="AW87">
            <v>712</v>
          </cell>
        </row>
        <row r="88">
          <cell r="B88">
            <v>578045</v>
          </cell>
          <cell r="C88" t="str">
            <v>Krásný Les (okres Karlovy Vary)</v>
          </cell>
          <cell r="D88" t="str">
            <v>Krásný Les (okres Karlovy Vary)</v>
          </cell>
          <cell r="E88">
            <v>338</v>
          </cell>
          <cell r="F88">
            <v>330</v>
          </cell>
          <cell r="G88">
            <v>347</v>
          </cell>
          <cell r="H88">
            <v>349</v>
          </cell>
          <cell r="I88">
            <v>329</v>
          </cell>
          <cell r="J88">
            <v>344</v>
          </cell>
          <cell r="K88">
            <v>146</v>
          </cell>
          <cell r="L88">
            <v>149</v>
          </cell>
          <cell r="M88">
            <v>149</v>
          </cell>
          <cell r="N88">
            <v>154</v>
          </cell>
          <cell r="O88">
            <v>157</v>
          </cell>
          <cell r="P88">
            <v>331</v>
          </cell>
          <cell r="Q88">
            <v>155</v>
          </cell>
          <cell r="R88">
            <v>152</v>
          </cell>
          <cell r="S88">
            <v>323</v>
          </cell>
          <cell r="T88">
            <v>322</v>
          </cell>
          <cell r="U88">
            <v>313</v>
          </cell>
          <cell r="V88">
            <v>308</v>
          </cell>
          <cell r="W88">
            <v>305</v>
          </cell>
          <cell r="X88">
            <v>309</v>
          </cell>
          <cell r="Y88">
            <v>298</v>
          </cell>
          <cell r="Z88">
            <v>262</v>
          </cell>
          <cell r="AA88">
            <v>220</v>
          </cell>
          <cell r="AB88">
            <v>209</v>
          </cell>
          <cell r="AC88">
            <v>196</v>
          </cell>
          <cell r="AD88">
            <v>194</v>
          </cell>
          <cell r="AE88">
            <v>184</v>
          </cell>
          <cell r="AF88">
            <v>180</v>
          </cell>
          <cell r="AG88">
            <v>169</v>
          </cell>
          <cell r="AH88">
            <v>170</v>
          </cell>
          <cell r="AI88">
            <v>169</v>
          </cell>
          <cell r="AJ88">
            <v>1351</v>
          </cell>
          <cell r="AK88">
            <v>1321</v>
          </cell>
          <cell r="AL88">
            <v>1313</v>
          </cell>
          <cell r="AM88">
            <v>1410</v>
          </cell>
          <cell r="AN88">
            <v>1431</v>
          </cell>
          <cell r="AO88">
            <v>1294</v>
          </cell>
          <cell r="AP88">
            <v>1260</v>
          </cell>
          <cell r="AQ88">
            <v>400</v>
          </cell>
          <cell r="AR88">
            <v>298</v>
          </cell>
          <cell r="AS88">
            <v>218</v>
          </cell>
          <cell r="AT88">
            <v>168</v>
          </cell>
          <cell r="AU88">
            <v>148</v>
          </cell>
          <cell r="AV88">
            <v>345</v>
          </cell>
          <cell r="AW88">
            <v>361</v>
          </cell>
        </row>
        <row r="89">
          <cell r="B89">
            <v>554596</v>
          </cell>
          <cell r="C89" t="str">
            <v>Křižovatka (okres Cheb)</v>
          </cell>
          <cell r="D89" t="str">
            <v>Křižovatka (okres Cheb)</v>
          </cell>
          <cell r="E89">
            <v>278</v>
          </cell>
          <cell r="F89">
            <v>276</v>
          </cell>
          <cell r="G89">
            <v>255</v>
          </cell>
          <cell r="H89">
            <v>259</v>
          </cell>
          <cell r="I89">
            <v>274</v>
          </cell>
          <cell r="J89">
            <v>265</v>
          </cell>
          <cell r="K89">
            <v>238</v>
          </cell>
          <cell r="L89">
            <v>244</v>
          </cell>
          <cell r="M89">
            <v>249</v>
          </cell>
          <cell r="N89">
            <v>251</v>
          </cell>
          <cell r="O89">
            <v>253</v>
          </cell>
          <cell r="P89">
            <v>273</v>
          </cell>
          <cell r="Q89">
            <v>247</v>
          </cell>
          <cell r="R89">
            <v>254</v>
          </cell>
          <cell r="S89">
            <v>274</v>
          </cell>
          <cell r="T89">
            <v>271</v>
          </cell>
          <cell r="U89">
            <v>276</v>
          </cell>
          <cell r="V89">
            <v>271</v>
          </cell>
          <cell r="W89">
            <v>275</v>
          </cell>
          <cell r="X89">
            <v>276</v>
          </cell>
          <cell r="Y89">
            <v>281</v>
          </cell>
          <cell r="Z89">
            <v>287</v>
          </cell>
          <cell r="AA89">
            <v>295</v>
          </cell>
          <cell r="AB89">
            <v>291</v>
          </cell>
          <cell r="AC89">
            <v>287</v>
          </cell>
          <cell r="AD89">
            <v>279</v>
          </cell>
          <cell r="AE89">
            <v>274</v>
          </cell>
          <cell r="AF89">
            <v>278</v>
          </cell>
          <cell r="AG89">
            <v>268</v>
          </cell>
          <cell r="AH89">
            <v>266</v>
          </cell>
          <cell r="AI89">
            <v>247</v>
          </cell>
          <cell r="AJ89">
            <v>994</v>
          </cell>
          <cell r="AK89">
            <v>977</v>
          </cell>
          <cell r="AL89">
            <v>875</v>
          </cell>
          <cell r="AM89">
            <v>838</v>
          </cell>
          <cell r="AN89">
            <v>917</v>
          </cell>
          <cell r="AO89">
            <v>864</v>
          </cell>
          <cell r="AP89">
            <v>944</v>
          </cell>
          <cell r="AQ89">
            <v>401</v>
          </cell>
          <cell r="AR89">
            <v>327</v>
          </cell>
          <cell r="AS89">
            <v>304</v>
          </cell>
          <cell r="AT89">
            <v>286</v>
          </cell>
          <cell r="AU89">
            <v>261</v>
          </cell>
          <cell r="AV89">
            <v>261</v>
          </cell>
          <cell r="AW89">
            <v>261</v>
          </cell>
        </row>
        <row r="90">
          <cell r="B90">
            <v>560499</v>
          </cell>
          <cell r="C90" t="str">
            <v>Kynšperk nad Ohří (okres Sokolov)</v>
          </cell>
          <cell r="D90" t="str">
            <v>Kynšperk nad Ohří (okres Sokolov)</v>
          </cell>
          <cell r="E90">
            <v>4739</v>
          </cell>
          <cell r="F90">
            <v>4799</v>
          </cell>
          <cell r="G90">
            <v>4496</v>
          </cell>
          <cell r="H90">
            <v>4568</v>
          </cell>
          <cell r="I90">
            <v>4789</v>
          </cell>
          <cell r="J90">
            <v>4590</v>
          </cell>
          <cell r="K90">
            <v>5220</v>
          </cell>
          <cell r="L90">
            <v>5232</v>
          </cell>
          <cell r="M90">
            <v>5242</v>
          </cell>
          <cell r="N90">
            <v>5212</v>
          </cell>
          <cell r="O90">
            <v>5205</v>
          </cell>
          <cell r="P90">
            <v>4804</v>
          </cell>
          <cell r="Q90">
            <v>5202</v>
          </cell>
          <cell r="R90">
            <v>5183</v>
          </cell>
          <cell r="S90">
            <v>4817</v>
          </cell>
          <cell r="T90">
            <v>4844</v>
          </cell>
          <cell r="U90">
            <v>4913</v>
          </cell>
          <cell r="V90">
            <v>4913</v>
          </cell>
          <cell r="W90">
            <v>4939</v>
          </cell>
          <cell r="X90">
            <v>5002</v>
          </cell>
          <cell r="Y90">
            <v>4969</v>
          </cell>
          <cell r="Z90">
            <v>5036</v>
          </cell>
          <cell r="AA90">
            <v>5034</v>
          </cell>
          <cell r="AB90">
            <v>5046</v>
          </cell>
          <cell r="AC90">
            <v>5046</v>
          </cell>
          <cell r="AD90">
            <v>5074</v>
          </cell>
          <cell r="AE90">
            <v>5100</v>
          </cell>
          <cell r="AF90">
            <v>5085</v>
          </cell>
          <cell r="AG90">
            <v>5090</v>
          </cell>
          <cell r="AH90">
            <v>5128</v>
          </cell>
          <cell r="AI90">
            <v>5229</v>
          </cell>
          <cell r="AJ90">
            <v>5640</v>
          </cell>
          <cell r="AK90">
            <v>5635</v>
          </cell>
          <cell r="AL90">
            <v>5438</v>
          </cell>
          <cell r="AM90">
            <v>6253</v>
          </cell>
          <cell r="AN90">
            <v>6903</v>
          </cell>
          <cell r="AO90">
            <v>6702</v>
          </cell>
          <cell r="AP90">
            <v>7061</v>
          </cell>
          <cell r="AQ90">
            <v>3458</v>
          </cell>
          <cell r="AR90">
            <v>4140</v>
          </cell>
          <cell r="AS90">
            <v>5542</v>
          </cell>
          <cell r="AT90">
            <v>5095</v>
          </cell>
          <cell r="AU90">
            <v>5202</v>
          </cell>
          <cell r="AV90">
            <v>4527</v>
          </cell>
          <cell r="AW90">
            <v>4537</v>
          </cell>
        </row>
        <row r="91">
          <cell r="B91">
            <v>555347</v>
          </cell>
          <cell r="C91" t="str">
            <v>Kyselka (okres Karlovy Vary)</v>
          </cell>
          <cell r="D91" t="str">
            <v>Kyselka (okres Karlovy Vary)</v>
          </cell>
          <cell r="E91">
            <v>789</v>
          </cell>
          <cell r="F91">
            <v>789</v>
          </cell>
          <cell r="G91">
            <v>846</v>
          </cell>
          <cell r="H91">
            <v>801</v>
          </cell>
          <cell r="I91">
            <v>792</v>
          </cell>
          <cell r="J91">
            <v>785</v>
          </cell>
          <cell r="K91">
            <v>666</v>
          </cell>
          <cell r="L91">
            <v>663</v>
          </cell>
          <cell r="M91">
            <v>658</v>
          </cell>
          <cell r="N91">
            <v>641</v>
          </cell>
          <cell r="O91">
            <v>657</v>
          </cell>
          <cell r="P91">
            <v>796</v>
          </cell>
          <cell r="Q91">
            <v>641</v>
          </cell>
          <cell r="R91">
            <v>654</v>
          </cell>
          <cell r="S91">
            <v>806</v>
          </cell>
          <cell r="T91">
            <v>790</v>
          </cell>
          <cell r="U91">
            <v>781</v>
          </cell>
          <cell r="V91">
            <v>799</v>
          </cell>
          <cell r="W91">
            <v>806</v>
          </cell>
          <cell r="X91">
            <v>809</v>
          </cell>
          <cell r="Y91">
            <v>800</v>
          </cell>
          <cell r="Z91">
            <v>804</v>
          </cell>
          <cell r="AA91">
            <v>802</v>
          </cell>
          <cell r="AB91">
            <v>796</v>
          </cell>
          <cell r="AC91">
            <v>774</v>
          </cell>
          <cell r="AD91">
            <v>749</v>
          </cell>
          <cell r="AE91">
            <v>709</v>
          </cell>
          <cell r="AF91">
            <v>702</v>
          </cell>
          <cell r="AG91">
            <v>695</v>
          </cell>
          <cell r="AH91">
            <v>696</v>
          </cell>
          <cell r="AI91">
            <v>680</v>
          </cell>
          <cell r="AJ91">
            <v>501</v>
          </cell>
          <cell r="AK91">
            <v>600</v>
          </cell>
          <cell r="AL91">
            <v>740</v>
          </cell>
          <cell r="AM91">
            <v>918</v>
          </cell>
          <cell r="AN91">
            <v>1001</v>
          </cell>
          <cell r="AO91">
            <v>966</v>
          </cell>
          <cell r="AP91">
            <v>1257</v>
          </cell>
          <cell r="AQ91">
            <v>422</v>
          </cell>
          <cell r="AR91">
            <v>637</v>
          </cell>
          <cell r="AS91">
            <v>572</v>
          </cell>
          <cell r="AT91">
            <v>668</v>
          </cell>
          <cell r="AU91">
            <v>624</v>
          </cell>
          <cell r="AV91">
            <v>841</v>
          </cell>
          <cell r="AW91">
            <v>820</v>
          </cell>
        </row>
        <row r="92">
          <cell r="B92">
            <v>554600</v>
          </cell>
          <cell r="C92" t="str">
            <v>Lázně Kynžvart (okres Cheb)</v>
          </cell>
          <cell r="D92" t="str">
            <v>Lázně Kynžvart (okres Cheb)</v>
          </cell>
          <cell r="E92">
            <v>1427</v>
          </cell>
          <cell r="F92">
            <v>1439</v>
          </cell>
          <cell r="G92">
            <v>1440</v>
          </cell>
          <cell r="H92">
            <v>1514</v>
          </cell>
          <cell r="I92">
            <v>1474</v>
          </cell>
          <cell r="J92">
            <v>1410</v>
          </cell>
          <cell r="K92">
            <v>1619</v>
          </cell>
          <cell r="L92">
            <v>1645</v>
          </cell>
          <cell r="M92">
            <v>1645</v>
          </cell>
          <cell r="N92">
            <v>1633</v>
          </cell>
          <cell r="O92">
            <v>1645</v>
          </cell>
          <cell r="P92">
            <v>1460</v>
          </cell>
          <cell r="Q92">
            <v>1642</v>
          </cell>
          <cell r="R92">
            <v>1639</v>
          </cell>
          <cell r="S92">
            <v>1433</v>
          </cell>
          <cell r="T92">
            <v>1454</v>
          </cell>
          <cell r="U92">
            <v>1455</v>
          </cell>
          <cell r="V92">
            <v>1461</v>
          </cell>
          <cell r="W92">
            <v>1463</v>
          </cell>
          <cell r="X92">
            <v>1482</v>
          </cell>
          <cell r="Y92">
            <v>1559</v>
          </cell>
          <cell r="Z92">
            <v>1556</v>
          </cell>
          <cell r="AA92">
            <v>1570</v>
          </cell>
          <cell r="AB92">
            <v>1592</v>
          </cell>
          <cell r="AC92">
            <v>1612</v>
          </cell>
          <cell r="AD92">
            <v>1631</v>
          </cell>
          <cell r="AE92">
            <v>1642</v>
          </cell>
          <cell r="AF92">
            <v>1647</v>
          </cell>
          <cell r="AG92">
            <v>1632</v>
          </cell>
          <cell r="AH92">
            <v>1621</v>
          </cell>
          <cell r="AI92">
            <v>1615</v>
          </cell>
          <cell r="AJ92">
            <v>3050</v>
          </cell>
          <cell r="AK92">
            <v>3348</v>
          </cell>
          <cell r="AL92">
            <v>3136</v>
          </cell>
          <cell r="AM92">
            <v>2966</v>
          </cell>
          <cell r="AN92">
            <v>2925</v>
          </cell>
          <cell r="AO92">
            <v>2616</v>
          </cell>
          <cell r="AP92">
            <v>2675</v>
          </cell>
          <cell r="AQ92">
            <v>1513</v>
          </cell>
          <cell r="AR92">
            <v>1221</v>
          </cell>
          <cell r="AS92">
            <v>1368</v>
          </cell>
          <cell r="AT92">
            <v>1468</v>
          </cell>
          <cell r="AU92">
            <v>1655</v>
          </cell>
          <cell r="AV92">
            <v>1403</v>
          </cell>
          <cell r="AW92">
            <v>1403</v>
          </cell>
        </row>
        <row r="93">
          <cell r="B93">
            <v>554618</v>
          </cell>
          <cell r="C93" t="str">
            <v>Libá (okres Cheb)</v>
          </cell>
          <cell r="D93" t="str">
            <v>Libá (okres Cheb)</v>
          </cell>
          <cell r="E93">
            <v>802</v>
          </cell>
          <cell r="F93">
            <v>800</v>
          </cell>
          <cell r="G93">
            <v>836</v>
          </cell>
          <cell r="H93">
            <v>809</v>
          </cell>
          <cell r="I93">
            <v>766</v>
          </cell>
          <cell r="J93">
            <v>794</v>
          </cell>
          <cell r="K93">
            <v>537</v>
          </cell>
          <cell r="L93">
            <v>524</v>
          </cell>
          <cell r="M93">
            <v>523</v>
          </cell>
          <cell r="N93">
            <v>529</v>
          </cell>
          <cell r="O93">
            <v>523</v>
          </cell>
          <cell r="P93">
            <v>741</v>
          </cell>
          <cell r="Q93">
            <v>519</v>
          </cell>
          <cell r="R93">
            <v>512</v>
          </cell>
          <cell r="S93">
            <v>746</v>
          </cell>
          <cell r="T93">
            <v>722</v>
          </cell>
          <cell r="U93">
            <v>723</v>
          </cell>
          <cell r="V93">
            <v>723</v>
          </cell>
          <cell r="W93">
            <v>732</v>
          </cell>
          <cell r="X93">
            <v>738</v>
          </cell>
          <cell r="Y93">
            <v>740</v>
          </cell>
          <cell r="Z93">
            <v>715</v>
          </cell>
          <cell r="AA93">
            <v>706</v>
          </cell>
          <cell r="AB93">
            <v>693</v>
          </cell>
          <cell r="AC93">
            <v>678</v>
          </cell>
          <cell r="AD93">
            <v>646</v>
          </cell>
          <cell r="AE93">
            <v>618</v>
          </cell>
          <cell r="AF93">
            <v>600</v>
          </cell>
          <cell r="AG93">
            <v>593</v>
          </cell>
          <cell r="AH93">
            <v>589</v>
          </cell>
          <cell r="AI93">
            <v>548</v>
          </cell>
          <cell r="AJ93">
            <v>3328</v>
          </cell>
          <cell r="AK93">
            <v>3336</v>
          </cell>
          <cell r="AL93">
            <v>3231</v>
          </cell>
          <cell r="AM93">
            <v>3105</v>
          </cell>
          <cell r="AN93">
            <v>2937</v>
          </cell>
          <cell r="AO93">
            <v>2717</v>
          </cell>
          <cell r="AP93">
            <v>3008</v>
          </cell>
          <cell r="AQ93">
            <v>943</v>
          </cell>
          <cell r="AR93">
            <v>788</v>
          </cell>
          <cell r="AS93">
            <v>719</v>
          </cell>
          <cell r="AT93">
            <v>568</v>
          </cell>
          <cell r="AU93">
            <v>494</v>
          </cell>
          <cell r="AV93">
            <v>805</v>
          </cell>
          <cell r="AW93">
            <v>817</v>
          </cell>
        </row>
        <row r="94">
          <cell r="B94">
            <v>560502</v>
          </cell>
          <cell r="C94" t="str">
            <v>Libavské Údolí (okres Sokolov)</v>
          </cell>
          <cell r="D94" t="str">
            <v>Libavské Údolí (okres Sokolov)</v>
          </cell>
          <cell r="E94">
            <v>537</v>
          </cell>
          <cell r="F94">
            <v>535</v>
          </cell>
          <cell r="G94">
            <v>535</v>
          </cell>
          <cell r="H94">
            <v>531</v>
          </cell>
          <cell r="I94">
            <v>543</v>
          </cell>
          <cell r="J94">
            <v>518</v>
          </cell>
          <cell r="K94">
            <v>581</v>
          </cell>
          <cell r="L94">
            <v>586</v>
          </cell>
          <cell r="M94">
            <v>588</v>
          </cell>
          <cell r="N94">
            <v>604</v>
          </cell>
          <cell r="O94">
            <v>604</v>
          </cell>
          <cell r="P94">
            <v>571</v>
          </cell>
          <cell r="Q94">
            <v>620</v>
          </cell>
          <cell r="R94">
            <v>617</v>
          </cell>
          <cell r="S94">
            <v>578</v>
          </cell>
          <cell r="T94">
            <v>590</v>
          </cell>
          <cell r="U94">
            <v>595</v>
          </cell>
          <cell r="V94">
            <v>590</v>
          </cell>
          <cell r="W94">
            <v>595</v>
          </cell>
          <cell r="X94">
            <v>599</v>
          </cell>
          <cell r="Y94">
            <v>602</v>
          </cell>
          <cell r="Z94">
            <v>587</v>
          </cell>
          <cell r="AA94">
            <v>587</v>
          </cell>
          <cell r="AB94">
            <v>582</v>
          </cell>
          <cell r="AC94">
            <v>580</v>
          </cell>
          <cell r="AD94">
            <v>600</v>
          </cell>
          <cell r="AE94">
            <v>596</v>
          </cell>
          <cell r="AF94">
            <v>590</v>
          </cell>
          <cell r="AG94">
            <v>569</v>
          </cell>
          <cell r="AH94">
            <v>572</v>
          </cell>
          <cell r="AI94">
            <v>568</v>
          </cell>
          <cell r="AJ94">
            <v>296</v>
          </cell>
          <cell r="AK94">
            <v>390</v>
          </cell>
          <cell r="AL94">
            <v>286</v>
          </cell>
          <cell r="AM94">
            <v>694</v>
          </cell>
          <cell r="AN94">
            <v>1128</v>
          </cell>
          <cell r="AO94">
            <v>1115</v>
          </cell>
          <cell r="AP94">
            <v>1250</v>
          </cell>
          <cell r="AQ94">
            <v>776</v>
          </cell>
          <cell r="AR94">
            <v>731</v>
          </cell>
          <cell r="AS94">
            <v>594</v>
          </cell>
          <cell r="AT94">
            <v>587</v>
          </cell>
          <cell r="AU94">
            <v>627</v>
          </cell>
          <cell r="AV94">
            <v>520</v>
          </cell>
          <cell r="AW94">
            <v>513</v>
          </cell>
        </row>
        <row r="95">
          <cell r="B95">
            <v>554626</v>
          </cell>
          <cell r="C95" t="str">
            <v>Lipová (okres Cheb)</v>
          </cell>
          <cell r="D95" t="str">
            <v>Lipová (okres Cheb)</v>
          </cell>
          <cell r="E95">
            <v>743</v>
          </cell>
          <cell r="F95">
            <v>746</v>
          </cell>
          <cell r="G95">
            <v>729</v>
          </cell>
          <cell r="H95">
            <v>745</v>
          </cell>
          <cell r="I95">
            <v>744</v>
          </cell>
          <cell r="J95">
            <v>708</v>
          </cell>
          <cell r="K95">
            <v>578</v>
          </cell>
          <cell r="L95">
            <v>578</v>
          </cell>
          <cell r="M95">
            <v>573</v>
          </cell>
          <cell r="N95">
            <v>579</v>
          </cell>
          <cell r="O95">
            <v>555</v>
          </cell>
          <cell r="P95">
            <v>725</v>
          </cell>
          <cell r="Q95">
            <v>563</v>
          </cell>
          <cell r="R95">
            <v>550</v>
          </cell>
          <cell r="S95">
            <v>721</v>
          </cell>
          <cell r="T95">
            <v>719</v>
          </cell>
          <cell r="U95">
            <v>705</v>
          </cell>
          <cell r="V95">
            <v>703</v>
          </cell>
          <cell r="W95">
            <v>703</v>
          </cell>
          <cell r="X95">
            <v>708</v>
          </cell>
          <cell r="Y95">
            <v>707</v>
          </cell>
          <cell r="Z95">
            <v>694</v>
          </cell>
          <cell r="AA95">
            <v>679</v>
          </cell>
          <cell r="AB95">
            <v>645</v>
          </cell>
          <cell r="AC95">
            <v>637</v>
          </cell>
          <cell r="AD95">
            <v>627</v>
          </cell>
          <cell r="AE95">
            <v>613</v>
          </cell>
          <cell r="AF95">
            <v>595</v>
          </cell>
          <cell r="AG95">
            <v>560</v>
          </cell>
          <cell r="AH95">
            <v>564</v>
          </cell>
          <cell r="AI95">
            <v>573</v>
          </cell>
          <cell r="AJ95">
            <v>2191</v>
          </cell>
          <cell r="AK95">
            <v>2084</v>
          </cell>
          <cell r="AL95">
            <v>1848</v>
          </cell>
          <cell r="AM95">
            <v>1840</v>
          </cell>
          <cell r="AN95">
            <v>1870</v>
          </cell>
          <cell r="AO95">
            <v>1816</v>
          </cell>
          <cell r="AP95">
            <v>1983</v>
          </cell>
          <cell r="AQ95">
            <v>837</v>
          </cell>
          <cell r="AR95">
            <v>789</v>
          </cell>
          <cell r="AS95">
            <v>606</v>
          </cell>
          <cell r="AT95">
            <v>556</v>
          </cell>
          <cell r="AU95">
            <v>546</v>
          </cell>
          <cell r="AV95">
            <v>747</v>
          </cell>
          <cell r="AW95">
            <v>752</v>
          </cell>
        </row>
        <row r="96">
          <cell r="B96">
            <v>560537</v>
          </cell>
          <cell r="C96" t="str">
            <v>Loket (okres Sokolov)</v>
          </cell>
          <cell r="D96" t="str">
            <v>Loket (okres Sokolov)</v>
          </cell>
          <cell r="E96">
            <v>3079</v>
          </cell>
          <cell r="F96">
            <v>3075</v>
          </cell>
          <cell r="G96">
            <v>3071</v>
          </cell>
          <cell r="H96">
            <v>3075</v>
          </cell>
          <cell r="I96">
            <v>3055</v>
          </cell>
          <cell r="J96">
            <v>3034</v>
          </cell>
          <cell r="K96">
            <v>3229</v>
          </cell>
          <cell r="L96">
            <v>3281</v>
          </cell>
          <cell r="M96">
            <v>3269</v>
          </cell>
          <cell r="N96">
            <v>3264</v>
          </cell>
          <cell r="O96">
            <v>3229</v>
          </cell>
          <cell r="P96">
            <v>3062</v>
          </cell>
          <cell r="Q96">
            <v>3231</v>
          </cell>
          <cell r="R96">
            <v>3182</v>
          </cell>
          <cell r="S96">
            <v>3030</v>
          </cell>
          <cell r="T96">
            <v>3082</v>
          </cell>
          <cell r="U96">
            <v>3083</v>
          </cell>
          <cell r="V96">
            <v>3117</v>
          </cell>
          <cell r="W96">
            <v>3130</v>
          </cell>
          <cell r="X96">
            <v>3114</v>
          </cell>
          <cell r="Y96">
            <v>3192</v>
          </cell>
          <cell r="Z96">
            <v>3191</v>
          </cell>
          <cell r="AA96">
            <v>3180</v>
          </cell>
          <cell r="AB96">
            <v>3174</v>
          </cell>
          <cell r="AC96">
            <v>3172</v>
          </cell>
          <cell r="AD96">
            <v>3193</v>
          </cell>
          <cell r="AE96">
            <v>3177</v>
          </cell>
          <cell r="AF96">
            <v>3217</v>
          </cell>
          <cell r="AG96">
            <v>3222</v>
          </cell>
          <cell r="AH96">
            <v>3183</v>
          </cell>
          <cell r="AI96">
            <v>3227</v>
          </cell>
          <cell r="AJ96">
            <v>4179</v>
          </cell>
          <cell r="AK96">
            <v>4120</v>
          </cell>
          <cell r="AL96">
            <v>4663</v>
          </cell>
          <cell r="AM96">
            <v>5538</v>
          </cell>
          <cell r="AN96">
            <v>5104</v>
          </cell>
          <cell r="AO96">
            <v>4716</v>
          </cell>
          <cell r="AP96">
            <v>5083</v>
          </cell>
          <cell r="AQ96">
            <v>2664</v>
          </cell>
          <cell r="AR96">
            <v>2595</v>
          </cell>
          <cell r="AS96">
            <v>2037</v>
          </cell>
          <cell r="AT96">
            <v>1833</v>
          </cell>
          <cell r="AU96">
            <v>2989</v>
          </cell>
          <cell r="AV96">
            <v>3050</v>
          </cell>
          <cell r="AW96">
            <v>2990</v>
          </cell>
        </row>
        <row r="97">
          <cell r="B97">
            <v>560545</v>
          </cell>
          <cell r="C97" t="str">
            <v>Lomnice (okres Sokolov)</v>
          </cell>
          <cell r="D97" t="str">
            <v>Lomnice (okres Sokolov)</v>
          </cell>
          <cell r="E97">
            <v>1358</v>
          </cell>
          <cell r="F97">
            <v>1345</v>
          </cell>
          <cell r="G97">
            <v>1356</v>
          </cell>
          <cell r="H97">
            <v>1371</v>
          </cell>
          <cell r="I97">
            <v>1336</v>
          </cell>
          <cell r="J97">
            <v>1367</v>
          </cell>
          <cell r="K97">
            <v>1064</v>
          </cell>
          <cell r="L97">
            <v>1026</v>
          </cell>
          <cell r="M97">
            <v>1025</v>
          </cell>
          <cell r="N97">
            <v>999</v>
          </cell>
          <cell r="O97">
            <v>980</v>
          </cell>
          <cell r="P97">
            <v>1313</v>
          </cell>
          <cell r="Q97">
            <v>983</v>
          </cell>
          <cell r="R97">
            <v>967</v>
          </cell>
          <cell r="S97">
            <v>1312</v>
          </cell>
          <cell r="T97">
            <v>1287</v>
          </cell>
          <cell r="U97">
            <v>1290</v>
          </cell>
          <cell r="V97">
            <v>1282</v>
          </cell>
          <cell r="W97">
            <v>1252</v>
          </cell>
          <cell r="X97">
            <v>1219</v>
          </cell>
          <cell r="Y97">
            <v>1207</v>
          </cell>
          <cell r="Z97">
            <v>1192</v>
          </cell>
          <cell r="AA97">
            <v>1165</v>
          </cell>
          <cell r="AB97">
            <v>1164</v>
          </cell>
          <cell r="AC97">
            <v>1162</v>
          </cell>
          <cell r="AD97">
            <v>1153</v>
          </cell>
          <cell r="AE97">
            <v>1140</v>
          </cell>
          <cell r="AF97">
            <v>1138</v>
          </cell>
          <cell r="AG97">
            <v>1123</v>
          </cell>
          <cell r="AH97">
            <v>1103</v>
          </cell>
          <cell r="AI97">
            <v>1088</v>
          </cell>
          <cell r="AJ97">
            <v>1007</v>
          </cell>
          <cell r="AK97">
            <v>1160</v>
          </cell>
          <cell r="AL97">
            <v>1351</v>
          </cell>
          <cell r="AM97">
            <v>1700</v>
          </cell>
          <cell r="AN97">
            <v>2079</v>
          </cell>
          <cell r="AO97">
            <v>2334</v>
          </cell>
          <cell r="AP97">
            <v>2668</v>
          </cell>
          <cell r="AQ97">
            <v>1776</v>
          </cell>
          <cell r="AR97">
            <v>1838</v>
          </cell>
          <cell r="AS97">
            <v>1392</v>
          </cell>
          <cell r="AT97">
            <v>1110</v>
          </cell>
          <cell r="AU97">
            <v>947</v>
          </cell>
          <cell r="AV97">
            <v>1372</v>
          </cell>
          <cell r="AW97">
            <v>1344</v>
          </cell>
        </row>
        <row r="98">
          <cell r="B98">
            <v>554634</v>
          </cell>
          <cell r="C98" t="str">
            <v>Luby (okres Cheb)</v>
          </cell>
          <cell r="D98" t="str">
            <v>Luby (okres Cheb)</v>
          </cell>
          <cell r="E98">
            <v>2124</v>
          </cell>
          <cell r="F98">
            <v>2144</v>
          </cell>
          <cell r="G98">
            <v>2299</v>
          </cell>
          <cell r="H98">
            <v>2194</v>
          </cell>
          <cell r="I98">
            <v>2146</v>
          </cell>
          <cell r="J98">
            <v>2086</v>
          </cell>
          <cell r="K98">
            <v>2366</v>
          </cell>
          <cell r="L98">
            <v>2366</v>
          </cell>
          <cell r="M98">
            <v>2376</v>
          </cell>
          <cell r="N98">
            <v>2408</v>
          </cell>
          <cell r="O98">
            <v>2455</v>
          </cell>
          <cell r="P98">
            <v>2128</v>
          </cell>
          <cell r="Q98">
            <v>2476</v>
          </cell>
          <cell r="R98">
            <v>2461</v>
          </cell>
          <cell r="S98">
            <v>2133</v>
          </cell>
          <cell r="T98">
            <v>2147</v>
          </cell>
          <cell r="U98">
            <v>2168</v>
          </cell>
          <cell r="V98">
            <v>2186</v>
          </cell>
          <cell r="W98">
            <v>2216</v>
          </cell>
          <cell r="X98">
            <v>2265</v>
          </cell>
          <cell r="Y98">
            <v>2425</v>
          </cell>
          <cell r="Z98">
            <v>2436</v>
          </cell>
          <cell r="AA98">
            <v>2443</v>
          </cell>
          <cell r="AB98">
            <v>2460</v>
          </cell>
          <cell r="AC98">
            <v>2496</v>
          </cell>
          <cell r="AD98">
            <v>2487</v>
          </cell>
          <cell r="AE98">
            <v>2515</v>
          </cell>
          <cell r="AF98">
            <v>2525</v>
          </cell>
          <cell r="AG98">
            <v>2507</v>
          </cell>
          <cell r="AH98">
            <v>2489</v>
          </cell>
          <cell r="AI98">
            <v>2387</v>
          </cell>
          <cell r="AJ98">
            <v>4072</v>
          </cell>
          <cell r="AK98">
            <v>4534</v>
          </cell>
          <cell r="AL98">
            <v>5404</v>
          </cell>
          <cell r="AM98">
            <v>5962</v>
          </cell>
          <cell r="AN98">
            <v>6785</v>
          </cell>
          <cell r="AO98">
            <v>6262</v>
          </cell>
          <cell r="AP98">
            <v>6522</v>
          </cell>
          <cell r="AQ98">
            <v>2515</v>
          </cell>
          <cell r="AR98">
            <v>2283</v>
          </cell>
          <cell r="AS98">
            <v>2551</v>
          </cell>
          <cell r="AT98">
            <v>2644</v>
          </cell>
          <cell r="AU98">
            <v>2509</v>
          </cell>
          <cell r="AV98">
            <v>2191</v>
          </cell>
          <cell r="AW98">
            <v>2147</v>
          </cell>
        </row>
        <row r="99">
          <cell r="B99">
            <v>554642</v>
          </cell>
          <cell r="C99" t="str">
            <v>Mariánské Lázně (okres Cheb)</v>
          </cell>
          <cell r="D99" t="str">
            <v>Mariánské Lázně (okres Cheb)</v>
          </cell>
          <cell r="E99">
            <v>12752</v>
          </cell>
          <cell r="F99">
            <v>12795</v>
          </cell>
          <cell r="G99">
            <v>14225</v>
          </cell>
          <cell r="H99">
            <v>13766</v>
          </cell>
          <cell r="I99">
            <v>12800</v>
          </cell>
          <cell r="J99">
            <v>12237</v>
          </cell>
          <cell r="K99">
            <v>15085</v>
          </cell>
          <cell r="L99">
            <v>15193</v>
          </cell>
          <cell r="M99">
            <v>15298</v>
          </cell>
          <cell r="N99">
            <v>15404</v>
          </cell>
          <cell r="O99">
            <v>15469</v>
          </cell>
          <cell r="P99">
            <v>12970</v>
          </cell>
          <cell r="Q99">
            <v>15533</v>
          </cell>
          <cell r="R99">
            <v>15548</v>
          </cell>
          <cell r="S99">
            <v>13042</v>
          </cell>
          <cell r="T99">
            <v>13224</v>
          </cell>
          <cell r="U99">
            <v>13283</v>
          </cell>
          <cell r="V99">
            <v>13289</v>
          </cell>
          <cell r="W99">
            <v>13337</v>
          </cell>
          <cell r="X99">
            <v>13554</v>
          </cell>
          <cell r="Y99">
            <v>13587</v>
          </cell>
          <cell r="Z99">
            <v>13677</v>
          </cell>
          <cell r="AA99">
            <v>13758</v>
          </cell>
          <cell r="AB99">
            <v>13915</v>
          </cell>
          <cell r="AC99">
            <v>13872</v>
          </cell>
          <cell r="AD99">
            <v>14026</v>
          </cell>
          <cell r="AE99">
            <v>14083</v>
          </cell>
          <cell r="AF99">
            <v>14277</v>
          </cell>
          <cell r="AG99">
            <v>14321</v>
          </cell>
          <cell r="AH99">
            <v>14613</v>
          </cell>
          <cell r="AI99">
            <v>15004</v>
          </cell>
          <cell r="AJ99">
            <v>2582</v>
          </cell>
          <cell r="AK99">
            <v>4075</v>
          </cell>
          <cell r="AL99">
            <v>5012</v>
          </cell>
          <cell r="AM99">
            <v>6459</v>
          </cell>
          <cell r="AN99">
            <v>9173</v>
          </cell>
          <cell r="AO99">
            <v>10183</v>
          </cell>
          <cell r="AP99">
            <v>11862</v>
          </cell>
          <cell r="AQ99">
            <v>9261</v>
          </cell>
          <cell r="AR99">
            <v>12882</v>
          </cell>
          <cell r="AS99">
            <v>13559</v>
          </cell>
          <cell r="AT99">
            <v>14930</v>
          </cell>
          <cell r="AU99">
            <v>15382</v>
          </cell>
          <cell r="AV99">
            <v>14052</v>
          </cell>
          <cell r="AW99">
            <v>13921</v>
          </cell>
        </row>
        <row r="100">
          <cell r="B100">
            <v>555363</v>
          </cell>
          <cell r="C100" t="str">
            <v>Merklín (okres Karlovy Vary)</v>
          </cell>
          <cell r="D100" t="str">
            <v>Merklín (okres Karlovy Vary)</v>
          </cell>
          <cell r="E100">
            <v>936</v>
          </cell>
          <cell r="F100">
            <v>946</v>
          </cell>
          <cell r="G100">
            <v>871</v>
          </cell>
          <cell r="H100">
            <v>898</v>
          </cell>
          <cell r="I100">
            <v>962</v>
          </cell>
          <cell r="J100">
            <v>903</v>
          </cell>
          <cell r="K100">
            <v>1058</v>
          </cell>
          <cell r="L100">
            <v>1041</v>
          </cell>
          <cell r="M100">
            <v>1012</v>
          </cell>
          <cell r="N100">
            <v>1000</v>
          </cell>
          <cell r="O100">
            <v>1008</v>
          </cell>
          <cell r="P100">
            <v>966</v>
          </cell>
          <cell r="Q100">
            <v>997</v>
          </cell>
          <cell r="R100">
            <v>952</v>
          </cell>
          <cell r="S100">
            <v>1005</v>
          </cell>
          <cell r="T100">
            <v>1027</v>
          </cell>
          <cell r="U100">
            <v>1042</v>
          </cell>
          <cell r="V100">
            <v>1058</v>
          </cell>
          <cell r="W100">
            <v>1085</v>
          </cell>
          <cell r="X100">
            <v>1122</v>
          </cell>
          <cell r="Y100">
            <v>1100</v>
          </cell>
          <cell r="Z100">
            <v>1110</v>
          </cell>
          <cell r="AA100">
            <v>1113</v>
          </cell>
          <cell r="AB100">
            <v>1121</v>
          </cell>
          <cell r="AC100">
            <v>1112</v>
          </cell>
          <cell r="AD100">
            <v>1102</v>
          </cell>
          <cell r="AE100">
            <v>1117</v>
          </cell>
          <cell r="AF100">
            <v>1117</v>
          </cell>
          <cell r="AG100">
            <v>1117</v>
          </cell>
          <cell r="AH100">
            <v>1137</v>
          </cell>
          <cell r="AI100">
            <v>1065</v>
          </cell>
          <cell r="AJ100">
            <v>766</v>
          </cell>
          <cell r="AK100">
            <v>867</v>
          </cell>
          <cell r="AL100">
            <v>1060</v>
          </cell>
          <cell r="AM100">
            <v>1293</v>
          </cell>
          <cell r="AN100">
            <v>1585</v>
          </cell>
          <cell r="AO100">
            <v>1379</v>
          </cell>
          <cell r="AP100">
            <v>1506</v>
          </cell>
          <cell r="AQ100">
            <v>949</v>
          </cell>
          <cell r="AR100">
            <v>869</v>
          </cell>
          <cell r="AS100">
            <v>698</v>
          </cell>
          <cell r="AT100">
            <v>913</v>
          </cell>
          <cell r="AU100">
            <v>889</v>
          </cell>
          <cell r="AV100">
            <v>871</v>
          </cell>
          <cell r="AW100">
            <v>888</v>
          </cell>
        </row>
        <row r="101">
          <cell r="B101">
            <v>554651</v>
          </cell>
          <cell r="C101" t="str">
            <v>Milhostov (okres Cheb)</v>
          </cell>
          <cell r="D101" t="str">
            <v>Milhostov (okres Cheb)</v>
          </cell>
          <cell r="E101">
            <v>328</v>
          </cell>
          <cell r="F101">
            <v>331</v>
          </cell>
          <cell r="G101">
            <v>313</v>
          </cell>
          <cell r="H101">
            <v>316</v>
          </cell>
          <cell r="I101">
            <v>328</v>
          </cell>
          <cell r="J101">
            <v>321</v>
          </cell>
          <cell r="K101">
            <v>327</v>
          </cell>
          <cell r="L101">
            <v>326</v>
          </cell>
          <cell r="M101">
            <v>323</v>
          </cell>
          <cell r="N101">
            <v>324</v>
          </cell>
          <cell r="O101">
            <v>322</v>
          </cell>
          <cell r="P101">
            <v>323</v>
          </cell>
          <cell r="Q101">
            <v>330</v>
          </cell>
          <cell r="R101">
            <v>310</v>
          </cell>
          <cell r="S101">
            <v>330</v>
          </cell>
          <cell r="T101">
            <v>337</v>
          </cell>
          <cell r="U101">
            <v>338</v>
          </cell>
          <cell r="V101">
            <v>339</v>
          </cell>
          <cell r="W101">
            <v>346</v>
          </cell>
          <cell r="X101">
            <v>347</v>
          </cell>
          <cell r="Y101">
            <v>344</v>
          </cell>
          <cell r="Z101">
            <v>347</v>
          </cell>
          <cell r="AA101">
            <v>356</v>
          </cell>
          <cell r="AB101">
            <v>370</v>
          </cell>
          <cell r="AC101">
            <v>349</v>
          </cell>
          <cell r="AD101">
            <v>348</v>
          </cell>
          <cell r="AE101">
            <v>350</v>
          </cell>
          <cell r="AF101">
            <v>344</v>
          </cell>
          <cell r="AG101">
            <v>327</v>
          </cell>
          <cell r="AH101">
            <v>324</v>
          </cell>
          <cell r="AI101">
            <v>320</v>
          </cell>
          <cell r="AJ101">
            <v>904</v>
          </cell>
          <cell r="AK101">
            <v>922</v>
          </cell>
          <cell r="AL101">
            <v>861</v>
          </cell>
          <cell r="AM101">
            <v>739</v>
          </cell>
          <cell r="AN101">
            <v>810</v>
          </cell>
          <cell r="AO101">
            <v>782</v>
          </cell>
          <cell r="AP101">
            <v>810</v>
          </cell>
          <cell r="AQ101">
            <v>304</v>
          </cell>
          <cell r="AR101">
            <v>323</v>
          </cell>
          <cell r="AS101">
            <v>389</v>
          </cell>
          <cell r="AT101">
            <v>341</v>
          </cell>
          <cell r="AU101">
            <v>308</v>
          </cell>
          <cell r="AV101">
            <v>316</v>
          </cell>
          <cell r="AW101">
            <v>311</v>
          </cell>
        </row>
        <row r="102">
          <cell r="B102">
            <v>538906</v>
          </cell>
          <cell r="C102" t="str">
            <v>Milíkov (okres Cheb)</v>
          </cell>
          <cell r="D102" t="str">
            <v>Milíkov (okres Cheb)</v>
          </cell>
          <cell r="E102">
            <v>300</v>
          </cell>
          <cell r="F102">
            <v>289</v>
          </cell>
          <cell r="G102">
            <v>295</v>
          </cell>
          <cell r="H102">
            <v>286</v>
          </cell>
          <cell r="I102">
            <v>283</v>
          </cell>
          <cell r="J102">
            <v>300</v>
          </cell>
          <cell r="K102">
            <v>194</v>
          </cell>
          <cell r="L102">
            <v>200</v>
          </cell>
          <cell r="M102">
            <v>205</v>
          </cell>
          <cell r="N102">
            <v>187</v>
          </cell>
          <cell r="O102">
            <v>191</v>
          </cell>
          <cell r="P102">
            <v>288</v>
          </cell>
          <cell r="Q102">
            <v>192</v>
          </cell>
          <cell r="R102">
            <v>195</v>
          </cell>
          <cell r="S102">
            <v>275</v>
          </cell>
          <cell r="T102">
            <v>272</v>
          </cell>
          <cell r="U102">
            <v>285</v>
          </cell>
          <cell r="V102">
            <v>281</v>
          </cell>
          <cell r="W102">
            <v>280</v>
          </cell>
          <cell r="X102">
            <v>263</v>
          </cell>
          <cell r="Y102">
            <v>241</v>
          </cell>
          <cell r="Z102">
            <v>238</v>
          </cell>
          <cell r="AA102">
            <v>233</v>
          </cell>
          <cell r="AB102">
            <v>233</v>
          </cell>
          <cell r="AC102">
            <v>226</v>
          </cell>
          <cell r="AD102">
            <v>220</v>
          </cell>
          <cell r="AE102">
            <v>220</v>
          </cell>
          <cell r="AF102">
            <v>216</v>
          </cell>
          <cell r="AG102">
            <v>230</v>
          </cell>
          <cell r="AH102">
            <v>223</v>
          </cell>
          <cell r="AI102">
            <v>203</v>
          </cell>
          <cell r="AJ102">
            <v>2141</v>
          </cell>
          <cell r="AK102">
            <v>2163</v>
          </cell>
          <cell r="AL102">
            <v>1856</v>
          </cell>
          <cell r="AM102">
            <v>1729</v>
          </cell>
          <cell r="AN102">
            <v>1584</v>
          </cell>
          <cell r="AO102">
            <v>1530</v>
          </cell>
          <cell r="AP102">
            <v>1540</v>
          </cell>
          <cell r="AQ102">
            <v>497</v>
          </cell>
          <cell r="AR102">
            <v>429</v>
          </cell>
          <cell r="AS102">
            <v>359</v>
          </cell>
          <cell r="AT102">
            <v>252</v>
          </cell>
          <cell r="AU102">
            <v>201</v>
          </cell>
          <cell r="AV102">
            <v>288</v>
          </cell>
          <cell r="AW102">
            <v>293</v>
          </cell>
        </row>
        <row r="103">
          <cell r="B103">
            <v>537934</v>
          </cell>
          <cell r="C103" t="str">
            <v>Mírová (okres Karlovy Vary)</v>
          </cell>
          <cell r="D103" t="str">
            <v>Mírová (okres Karlovy Vary)</v>
          </cell>
          <cell r="E103">
            <v>320</v>
          </cell>
          <cell r="F103">
            <v>328</v>
          </cell>
          <cell r="G103">
            <v>341</v>
          </cell>
          <cell r="H103">
            <v>334</v>
          </cell>
          <cell r="I103">
            <v>336</v>
          </cell>
          <cell r="J103">
            <v>326</v>
          </cell>
          <cell r="K103">
            <v>211</v>
          </cell>
          <cell r="L103">
            <v>201</v>
          </cell>
          <cell r="M103">
            <v>203</v>
          </cell>
          <cell r="N103">
            <v>199</v>
          </cell>
          <cell r="O103">
            <v>184</v>
          </cell>
          <cell r="P103">
            <v>325</v>
          </cell>
          <cell r="Q103">
            <v>182</v>
          </cell>
          <cell r="R103">
            <v>190</v>
          </cell>
          <cell r="S103">
            <v>325</v>
          </cell>
          <cell r="T103">
            <v>324</v>
          </cell>
          <cell r="U103">
            <v>325</v>
          </cell>
          <cell r="V103">
            <v>328</v>
          </cell>
          <cell r="W103">
            <v>319</v>
          </cell>
          <cell r="X103">
            <v>322</v>
          </cell>
          <cell r="Y103">
            <v>292</v>
          </cell>
          <cell r="Z103">
            <v>283</v>
          </cell>
          <cell r="AA103">
            <v>274</v>
          </cell>
          <cell r="AB103">
            <v>246</v>
          </cell>
          <cell r="AC103">
            <v>241</v>
          </cell>
          <cell r="AD103">
            <v>225</v>
          </cell>
          <cell r="AE103">
            <v>228</v>
          </cell>
          <cell r="AF103">
            <v>233</v>
          </cell>
          <cell r="AG103">
            <v>225</v>
          </cell>
          <cell r="AH103">
            <v>225</v>
          </cell>
          <cell r="AI103">
            <v>208</v>
          </cell>
          <cell r="AJ103">
            <v>409</v>
          </cell>
          <cell r="AK103">
            <v>527</v>
          </cell>
          <cell r="AL103">
            <v>681</v>
          </cell>
          <cell r="AM103">
            <v>790</v>
          </cell>
          <cell r="AN103">
            <v>721</v>
          </cell>
          <cell r="AO103">
            <v>741</v>
          </cell>
          <cell r="AP103">
            <v>989</v>
          </cell>
          <cell r="AQ103">
            <v>445</v>
          </cell>
          <cell r="AR103">
            <v>344</v>
          </cell>
          <cell r="AS103">
            <v>313</v>
          </cell>
          <cell r="AT103">
            <v>239</v>
          </cell>
          <cell r="AU103">
            <v>213</v>
          </cell>
          <cell r="AV103">
            <v>355</v>
          </cell>
          <cell r="AW103">
            <v>382</v>
          </cell>
        </row>
        <row r="104">
          <cell r="B104">
            <v>554677</v>
          </cell>
          <cell r="C104" t="str">
            <v>Mnichov (okres Cheb)</v>
          </cell>
          <cell r="D104" t="str">
            <v>Mnichov (okres Cheb)</v>
          </cell>
          <cell r="E104">
            <v>398</v>
          </cell>
          <cell r="F104">
            <v>407</v>
          </cell>
          <cell r="G104">
            <v>395</v>
          </cell>
          <cell r="H104">
            <v>387</v>
          </cell>
          <cell r="I104">
            <v>390</v>
          </cell>
          <cell r="J104">
            <v>392</v>
          </cell>
          <cell r="K104">
            <v>359</v>
          </cell>
          <cell r="L104">
            <v>356</v>
          </cell>
          <cell r="M104">
            <v>363</v>
          </cell>
          <cell r="N104">
            <v>362</v>
          </cell>
          <cell r="O104">
            <v>358</v>
          </cell>
          <cell r="P104">
            <v>399</v>
          </cell>
          <cell r="Q104">
            <v>365</v>
          </cell>
          <cell r="R104">
            <v>400</v>
          </cell>
          <cell r="S104">
            <v>401</v>
          </cell>
          <cell r="T104">
            <v>396</v>
          </cell>
          <cell r="U104">
            <v>401</v>
          </cell>
          <cell r="V104">
            <v>407</v>
          </cell>
          <cell r="W104">
            <v>396</v>
          </cell>
          <cell r="X104">
            <v>396</v>
          </cell>
          <cell r="Y104">
            <v>404</v>
          </cell>
          <cell r="Z104">
            <v>398</v>
          </cell>
          <cell r="AA104">
            <v>396</v>
          </cell>
          <cell r="AB104">
            <v>400</v>
          </cell>
          <cell r="AC104">
            <v>384</v>
          </cell>
          <cell r="AD104">
            <v>373</v>
          </cell>
          <cell r="AE104">
            <v>372</v>
          </cell>
          <cell r="AF104">
            <v>351</v>
          </cell>
          <cell r="AG104">
            <v>342</v>
          </cell>
          <cell r="AH104">
            <v>342</v>
          </cell>
          <cell r="AI104">
            <v>360</v>
          </cell>
          <cell r="AJ104">
            <v>2263</v>
          </cell>
          <cell r="AK104">
            <v>2390</v>
          </cell>
          <cell r="AL104">
            <v>2407</v>
          </cell>
          <cell r="AM104">
            <v>2233</v>
          </cell>
          <cell r="AN104">
            <v>2166</v>
          </cell>
          <cell r="AO104">
            <v>1947</v>
          </cell>
          <cell r="AP104">
            <v>1874</v>
          </cell>
          <cell r="AQ104">
            <v>551</v>
          </cell>
          <cell r="AR104">
            <v>409</v>
          </cell>
          <cell r="AS104">
            <v>531</v>
          </cell>
          <cell r="AT104">
            <v>463</v>
          </cell>
          <cell r="AU104">
            <v>430</v>
          </cell>
          <cell r="AV104">
            <v>392</v>
          </cell>
          <cell r="AW104">
            <v>409</v>
          </cell>
        </row>
        <row r="105">
          <cell r="B105">
            <v>554693</v>
          </cell>
          <cell r="C105" t="str">
            <v>Nebanice (okres Cheb)</v>
          </cell>
          <cell r="D105" t="str">
            <v>Nebanice (okres Cheb)</v>
          </cell>
          <cell r="E105">
            <v>355</v>
          </cell>
          <cell r="F105">
            <v>343</v>
          </cell>
          <cell r="G105">
            <v>338</v>
          </cell>
          <cell r="H105">
            <v>342</v>
          </cell>
          <cell r="I105">
            <v>339</v>
          </cell>
          <cell r="J105">
            <v>349</v>
          </cell>
          <cell r="K105">
            <v>328</v>
          </cell>
          <cell r="L105">
            <v>313</v>
          </cell>
          <cell r="M105">
            <v>299</v>
          </cell>
          <cell r="N105">
            <v>302</v>
          </cell>
          <cell r="O105">
            <v>312</v>
          </cell>
          <cell r="P105">
            <v>341</v>
          </cell>
          <cell r="Q105">
            <v>318</v>
          </cell>
          <cell r="R105">
            <v>309</v>
          </cell>
          <cell r="S105">
            <v>345</v>
          </cell>
          <cell r="T105">
            <v>349</v>
          </cell>
          <cell r="U105">
            <v>353</v>
          </cell>
          <cell r="V105">
            <v>353</v>
          </cell>
          <cell r="W105">
            <v>363</v>
          </cell>
          <cell r="X105">
            <v>372</v>
          </cell>
          <cell r="Y105">
            <v>348</v>
          </cell>
          <cell r="Z105">
            <v>341</v>
          </cell>
          <cell r="AA105">
            <v>308</v>
          </cell>
          <cell r="AB105">
            <v>287</v>
          </cell>
          <cell r="AC105">
            <v>297</v>
          </cell>
          <cell r="AD105">
            <v>291</v>
          </cell>
          <cell r="AE105">
            <v>288</v>
          </cell>
          <cell r="AF105">
            <v>291</v>
          </cell>
          <cell r="AG105">
            <v>298</v>
          </cell>
          <cell r="AH105">
            <v>308</v>
          </cell>
          <cell r="AI105">
            <v>316</v>
          </cell>
          <cell r="AJ105">
            <v>390</v>
          </cell>
          <cell r="AK105">
            <v>401</v>
          </cell>
          <cell r="AL105">
            <v>412</v>
          </cell>
          <cell r="AM105">
            <v>355</v>
          </cell>
          <cell r="AN105">
            <v>377</v>
          </cell>
          <cell r="AO105">
            <v>374</v>
          </cell>
          <cell r="AP105">
            <v>435</v>
          </cell>
          <cell r="AQ105">
            <v>208</v>
          </cell>
          <cell r="AR105">
            <v>207</v>
          </cell>
          <cell r="AS105">
            <v>210</v>
          </cell>
          <cell r="AT105">
            <v>263</v>
          </cell>
          <cell r="AU105">
            <v>318</v>
          </cell>
          <cell r="AV105">
            <v>325</v>
          </cell>
          <cell r="AW105">
            <v>320</v>
          </cell>
        </row>
        <row r="106">
          <cell r="B106">
            <v>555380</v>
          </cell>
          <cell r="C106" t="str">
            <v>Nejdek (okres Karlovy Vary)</v>
          </cell>
          <cell r="D106" t="str">
            <v>Nejdek (okres Karlovy Vary)</v>
          </cell>
          <cell r="E106">
            <v>7790</v>
          </cell>
          <cell r="F106">
            <v>7806</v>
          </cell>
          <cell r="G106">
            <v>7785</v>
          </cell>
          <cell r="H106">
            <v>7772</v>
          </cell>
          <cell r="I106">
            <v>7807</v>
          </cell>
          <cell r="J106">
            <v>7608</v>
          </cell>
          <cell r="K106">
            <v>8443</v>
          </cell>
          <cell r="L106">
            <v>8417</v>
          </cell>
          <cell r="M106">
            <v>8375</v>
          </cell>
          <cell r="N106">
            <v>8288</v>
          </cell>
          <cell r="O106">
            <v>8238</v>
          </cell>
          <cell r="P106">
            <v>7791</v>
          </cell>
          <cell r="Q106">
            <v>8233</v>
          </cell>
          <cell r="R106">
            <v>8209</v>
          </cell>
          <cell r="S106">
            <v>7838</v>
          </cell>
          <cell r="T106">
            <v>7990</v>
          </cell>
          <cell r="U106">
            <v>8079</v>
          </cell>
          <cell r="V106">
            <v>8156</v>
          </cell>
          <cell r="W106">
            <v>8221</v>
          </cell>
          <cell r="X106">
            <v>8290</v>
          </cell>
          <cell r="Y106">
            <v>8337</v>
          </cell>
          <cell r="Z106">
            <v>8418</v>
          </cell>
          <cell r="AA106">
            <v>8498</v>
          </cell>
          <cell r="AB106">
            <v>8446</v>
          </cell>
          <cell r="AC106">
            <v>8460</v>
          </cell>
          <cell r="AD106">
            <v>8479</v>
          </cell>
          <cell r="AE106">
            <v>8549</v>
          </cell>
          <cell r="AF106">
            <v>8565</v>
          </cell>
          <cell r="AG106">
            <v>8592</v>
          </cell>
          <cell r="AH106">
            <v>8575</v>
          </cell>
          <cell r="AI106">
            <v>8464</v>
          </cell>
          <cell r="AJ106">
            <v>6724</v>
          </cell>
          <cell r="AK106">
            <v>7747</v>
          </cell>
          <cell r="AL106">
            <v>7651</v>
          </cell>
          <cell r="AM106">
            <v>9122</v>
          </cell>
          <cell r="AN106">
            <v>11678</v>
          </cell>
          <cell r="AO106">
            <v>11626</v>
          </cell>
          <cell r="AP106">
            <v>14556</v>
          </cell>
          <cell r="AQ106">
            <v>7984</v>
          </cell>
          <cell r="AR106">
            <v>8423</v>
          </cell>
          <cell r="AS106">
            <v>8787</v>
          </cell>
          <cell r="AT106">
            <v>8893</v>
          </cell>
          <cell r="AU106">
            <v>8180</v>
          </cell>
          <cell r="AV106">
            <v>7733</v>
          </cell>
          <cell r="AW106">
            <v>7647</v>
          </cell>
        </row>
        <row r="107">
          <cell r="B107">
            <v>555398</v>
          </cell>
          <cell r="C107" t="str">
            <v>Nová Role (okres Karlovy Vary)</v>
          </cell>
          <cell r="D107" t="str">
            <v>Nová Role (okres Karlovy Vary)</v>
          </cell>
          <cell r="E107">
            <v>4154</v>
          </cell>
          <cell r="F107">
            <v>4132</v>
          </cell>
          <cell r="G107">
            <v>4244</v>
          </cell>
          <cell r="H107">
            <v>4228</v>
          </cell>
          <cell r="I107">
            <v>4161</v>
          </cell>
          <cell r="J107">
            <v>4125</v>
          </cell>
          <cell r="K107">
            <v>4107</v>
          </cell>
          <cell r="L107">
            <v>4033</v>
          </cell>
          <cell r="M107">
            <v>3976</v>
          </cell>
          <cell r="N107">
            <v>3930</v>
          </cell>
          <cell r="O107">
            <v>3894</v>
          </cell>
          <cell r="P107">
            <v>4161</v>
          </cell>
          <cell r="Q107">
            <v>3867</v>
          </cell>
          <cell r="R107">
            <v>3862</v>
          </cell>
          <cell r="S107">
            <v>4156</v>
          </cell>
          <cell r="T107">
            <v>4144</v>
          </cell>
          <cell r="U107">
            <v>4149</v>
          </cell>
          <cell r="V107">
            <v>4130</v>
          </cell>
          <cell r="W107">
            <v>4124</v>
          </cell>
          <cell r="X107">
            <v>4092</v>
          </cell>
          <cell r="Y107">
            <v>4137</v>
          </cell>
          <cell r="Z107">
            <v>4159</v>
          </cell>
          <cell r="AA107">
            <v>4106</v>
          </cell>
          <cell r="AB107">
            <v>4063</v>
          </cell>
          <cell r="AC107">
            <v>4019</v>
          </cell>
          <cell r="AD107">
            <v>3995</v>
          </cell>
          <cell r="AE107">
            <v>4030</v>
          </cell>
          <cell r="AF107">
            <v>4047</v>
          </cell>
          <cell r="AG107">
            <v>4079</v>
          </cell>
          <cell r="AH107">
            <v>4072</v>
          </cell>
          <cell r="AI107">
            <v>4116</v>
          </cell>
          <cell r="AJ107">
            <v>779</v>
          </cell>
          <cell r="AK107">
            <v>927</v>
          </cell>
          <cell r="AL107">
            <v>1068</v>
          </cell>
          <cell r="AM107">
            <v>1388</v>
          </cell>
          <cell r="AN107">
            <v>1583</v>
          </cell>
          <cell r="AO107">
            <v>1458</v>
          </cell>
          <cell r="AP107">
            <v>1859</v>
          </cell>
          <cell r="AQ107">
            <v>1156</v>
          </cell>
          <cell r="AR107">
            <v>2569</v>
          </cell>
          <cell r="AS107">
            <v>4578</v>
          </cell>
          <cell r="AT107">
            <v>4467</v>
          </cell>
          <cell r="AU107">
            <v>3888</v>
          </cell>
          <cell r="AV107">
            <v>4277</v>
          </cell>
          <cell r="AW107">
            <v>4298</v>
          </cell>
        </row>
        <row r="108">
          <cell r="B108">
            <v>560561</v>
          </cell>
          <cell r="C108" t="str">
            <v>Nová Ves (okres Sokolov)</v>
          </cell>
          <cell r="D108" t="str">
            <v>Nová Ves (okres Sokolov)</v>
          </cell>
          <cell r="E108">
            <v>192</v>
          </cell>
          <cell r="F108">
            <v>194</v>
          </cell>
          <cell r="G108">
            <v>199</v>
          </cell>
          <cell r="H108">
            <v>198</v>
          </cell>
          <cell r="I108">
            <v>177</v>
          </cell>
          <cell r="J108">
            <v>205</v>
          </cell>
          <cell r="K108">
            <v>246</v>
          </cell>
          <cell r="L108">
            <v>242</v>
          </cell>
          <cell r="M108">
            <v>243</v>
          </cell>
          <cell r="N108">
            <v>237</v>
          </cell>
          <cell r="O108">
            <v>228</v>
          </cell>
          <cell r="P108">
            <v>185</v>
          </cell>
          <cell r="Q108">
            <v>218</v>
          </cell>
          <cell r="R108">
            <v>217</v>
          </cell>
          <cell r="S108">
            <v>194</v>
          </cell>
          <cell r="T108">
            <v>209</v>
          </cell>
          <cell r="U108">
            <v>223</v>
          </cell>
          <cell r="V108">
            <v>228</v>
          </cell>
          <cell r="W108">
            <v>220</v>
          </cell>
          <cell r="X108">
            <v>231</v>
          </cell>
          <cell r="Y108">
            <v>283</v>
          </cell>
          <cell r="Z108">
            <v>290</v>
          </cell>
          <cell r="AA108">
            <v>288</v>
          </cell>
          <cell r="AB108">
            <v>296</v>
          </cell>
          <cell r="AC108">
            <v>290</v>
          </cell>
          <cell r="AD108">
            <v>289</v>
          </cell>
          <cell r="AE108">
            <v>281</v>
          </cell>
          <cell r="AF108">
            <v>269</v>
          </cell>
          <cell r="AG108">
            <v>260</v>
          </cell>
          <cell r="AH108">
            <v>252</v>
          </cell>
          <cell r="AI108">
            <v>245</v>
          </cell>
          <cell r="AJ108">
            <v>2597</v>
          </cell>
          <cell r="AK108">
            <v>2601</v>
          </cell>
          <cell r="AL108">
            <v>2371</v>
          </cell>
          <cell r="AM108">
            <v>2218</v>
          </cell>
          <cell r="AN108">
            <v>2167</v>
          </cell>
          <cell r="AO108">
            <v>1873</v>
          </cell>
          <cell r="AP108">
            <v>1846</v>
          </cell>
          <cell r="AQ108">
            <v>166</v>
          </cell>
          <cell r="AR108">
            <v>202</v>
          </cell>
          <cell r="AS108">
            <v>301</v>
          </cell>
          <cell r="AT108">
            <v>278</v>
          </cell>
          <cell r="AU108">
            <v>247</v>
          </cell>
          <cell r="AV108">
            <v>206</v>
          </cell>
          <cell r="AW108">
            <v>229</v>
          </cell>
        </row>
        <row r="109">
          <cell r="B109">
            <v>506494</v>
          </cell>
          <cell r="C109" t="str">
            <v>Nové Hamry (okres Karlovy Vary)</v>
          </cell>
          <cell r="D109" t="str">
            <v>Nové Hamry (okres Karlovy Vary)</v>
          </cell>
          <cell r="E109">
            <v>339</v>
          </cell>
          <cell r="F109">
            <v>343</v>
          </cell>
          <cell r="G109">
            <v>358</v>
          </cell>
          <cell r="H109">
            <v>362</v>
          </cell>
          <cell r="I109">
            <v>339</v>
          </cell>
          <cell r="J109">
            <v>341</v>
          </cell>
          <cell r="K109">
            <v>278</v>
          </cell>
          <cell r="L109">
            <v>275</v>
          </cell>
          <cell r="M109">
            <v>277</v>
          </cell>
          <cell r="N109">
            <v>266</v>
          </cell>
          <cell r="O109">
            <v>258</v>
          </cell>
          <cell r="P109">
            <v>342</v>
          </cell>
          <cell r="Q109">
            <v>251</v>
          </cell>
          <cell r="R109">
            <v>256</v>
          </cell>
          <cell r="S109">
            <v>335</v>
          </cell>
          <cell r="T109">
            <v>334</v>
          </cell>
          <cell r="U109">
            <v>332</v>
          </cell>
          <cell r="V109">
            <v>339</v>
          </cell>
          <cell r="W109">
            <v>344</v>
          </cell>
          <cell r="X109">
            <v>337</v>
          </cell>
          <cell r="Y109">
            <v>322</v>
          </cell>
          <cell r="Z109">
            <v>327</v>
          </cell>
          <cell r="AA109">
            <v>326</v>
          </cell>
          <cell r="AB109">
            <v>331</v>
          </cell>
          <cell r="AC109">
            <v>316</v>
          </cell>
          <cell r="AD109">
            <v>313</v>
          </cell>
          <cell r="AE109">
            <v>302</v>
          </cell>
          <cell r="AF109">
            <v>292</v>
          </cell>
          <cell r="AG109">
            <v>278</v>
          </cell>
          <cell r="AH109">
            <v>282</v>
          </cell>
          <cell r="AI109">
            <v>283</v>
          </cell>
          <cell r="AJ109">
            <v>2731</v>
          </cell>
          <cell r="AK109">
            <v>2849</v>
          </cell>
          <cell r="AL109">
            <v>2795</v>
          </cell>
          <cell r="AM109">
            <v>2606</v>
          </cell>
          <cell r="AN109">
            <v>2916</v>
          </cell>
          <cell r="AO109">
            <v>2599</v>
          </cell>
          <cell r="AP109">
            <v>2784</v>
          </cell>
          <cell r="AQ109">
            <v>483</v>
          </cell>
          <cell r="AR109">
            <v>624</v>
          </cell>
          <cell r="AS109">
            <v>462</v>
          </cell>
          <cell r="AT109">
            <v>316</v>
          </cell>
          <cell r="AU109">
            <v>260</v>
          </cell>
          <cell r="AV109">
            <v>347</v>
          </cell>
          <cell r="AW109">
            <v>354</v>
          </cell>
        </row>
        <row r="110">
          <cell r="B110">
            <v>560570</v>
          </cell>
          <cell r="C110" t="str">
            <v>Nové Sedlo (okres Sokolov)</v>
          </cell>
          <cell r="D110" t="str">
            <v>Nové Sedlo (okres Sokolov)</v>
          </cell>
          <cell r="E110">
            <v>2612</v>
          </cell>
          <cell r="F110">
            <v>2604</v>
          </cell>
          <cell r="G110">
            <v>2557</v>
          </cell>
          <cell r="H110">
            <v>2598</v>
          </cell>
          <cell r="I110">
            <v>2599</v>
          </cell>
          <cell r="J110">
            <v>2554</v>
          </cell>
          <cell r="K110">
            <v>2600</v>
          </cell>
          <cell r="L110">
            <v>2579</v>
          </cell>
          <cell r="M110">
            <v>2608</v>
          </cell>
          <cell r="N110">
            <v>2620</v>
          </cell>
          <cell r="O110">
            <v>2615</v>
          </cell>
          <cell r="P110">
            <v>2590</v>
          </cell>
          <cell r="Q110">
            <v>2589</v>
          </cell>
          <cell r="R110">
            <v>2574</v>
          </cell>
          <cell r="S110">
            <v>2576</v>
          </cell>
          <cell r="T110">
            <v>2565</v>
          </cell>
          <cell r="U110">
            <v>2586</v>
          </cell>
          <cell r="V110">
            <v>2597</v>
          </cell>
          <cell r="W110">
            <v>2627</v>
          </cell>
          <cell r="X110">
            <v>2606</v>
          </cell>
          <cell r="Y110">
            <v>2714</v>
          </cell>
          <cell r="Z110">
            <v>2713</v>
          </cell>
          <cell r="AA110">
            <v>2721</v>
          </cell>
          <cell r="AB110">
            <v>2704</v>
          </cell>
          <cell r="AC110">
            <v>2694</v>
          </cell>
          <cell r="AD110">
            <v>2698</v>
          </cell>
          <cell r="AE110">
            <v>2674</v>
          </cell>
          <cell r="AF110">
            <v>2669</v>
          </cell>
          <cell r="AG110">
            <v>2657</v>
          </cell>
          <cell r="AH110">
            <v>2634</v>
          </cell>
          <cell r="AI110">
            <v>2593</v>
          </cell>
          <cell r="AJ110">
            <v>1212</v>
          </cell>
          <cell r="AK110">
            <v>2400</v>
          </cell>
          <cell r="AL110">
            <v>5363</v>
          </cell>
          <cell r="AM110">
            <v>8235</v>
          </cell>
          <cell r="AN110">
            <v>8966</v>
          </cell>
          <cell r="AO110">
            <v>7697</v>
          </cell>
          <cell r="AP110">
            <v>8004</v>
          </cell>
          <cell r="AQ110">
            <v>4561</v>
          </cell>
          <cell r="AR110">
            <v>4299</v>
          </cell>
          <cell r="AS110">
            <v>3021</v>
          </cell>
          <cell r="AT110">
            <v>2834</v>
          </cell>
          <cell r="AU110">
            <v>2508</v>
          </cell>
          <cell r="AV110">
            <v>2527</v>
          </cell>
          <cell r="AW110">
            <v>2527</v>
          </cell>
        </row>
        <row r="111">
          <cell r="B111">
            <v>554707</v>
          </cell>
          <cell r="C111" t="str">
            <v>Nový Kostel (okres Cheb)</v>
          </cell>
          <cell r="D111" t="str">
            <v>Nový Kostel (okres Cheb)</v>
          </cell>
          <cell r="E111">
            <v>495</v>
          </cell>
          <cell r="F111">
            <v>500</v>
          </cell>
          <cell r="G111">
            <v>520</v>
          </cell>
          <cell r="H111">
            <v>515</v>
          </cell>
          <cell r="I111">
            <v>490</v>
          </cell>
          <cell r="J111">
            <v>493</v>
          </cell>
          <cell r="K111">
            <v>517</v>
          </cell>
          <cell r="L111">
            <v>522</v>
          </cell>
          <cell r="M111">
            <v>525</v>
          </cell>
          <cell r="N111">
            <v>521</v>
          </cell>
          <cell r="O111">
            <v>515</v>
          </cell>
          <cell r="P111">
            <v>496</v>
          </cell>
          <cell r="Q111">
            <v>515</v>
          </cell>
          <cell r="R111">
            <v>519</v>
          </cell>
          <cell r="S111">
            <v>489</v>
          </cell>
          <cell r="T111">
            <v>488</v>
          </cell>
          <cell r="U111">
            <v>493</v>
          </cell>
          <cell r="V111">
            <v>502</v>
          </cell>
          <cell r="W111">
            <v>514</v>
          </cell>
          <cell r="X111">
            <v>528</v>
          </cell>
          <cell r="Y111">
            <v>549</v>
          </cell>
          <cell r="Z111">
            <v>571</v>
          </cell>
          <cell r="AA111">
            <v>569</v>
          </cell>
          <cell r="AB111">
            <v>543</v>
          </cell>
          <cell r="AC111">
            <v>537</v>
          </cell>
          <cell r="AD111">
            <v>554</v>
          </cell>
          <cell r="AE111">
            <v>545</v>
          </cell>
          <cell r="AF111">
            <v>533</v>
          </cell>
          <cell r="AG111">
            <v>532</v>
          </cell>
          <cell r="AH111">
            <v>533</v>
          </cell>
          <cell r="AI111">
            <v>528</v>
          </cell>
          <cell r="AJ111">
            <v>3700</v>
          </cell>
          <cell r="AK111">
            <v>3521</v>
          </cell>
          <cell r="AL111">
            <v>3220</v>
          </cell>
          <cell r="AM111">
            <v>3156</v>
          </cell>
          <cell r="AN111">
            <v>3057</v>
          </cell>
          <cell r="AO111">
            <v>2916</v>
          </cell>
          <cell r="AP111">
            <v>3012</v>
          </cell>
          <cell r="AQ111">
            <v>925</v>
          </cell>
          <cell r="AR111">
            <v>855</v>
          </cell>
          <cell r="AS111">
            <v>697</v>
          </cell>
          <cell r="AT111">
            <v>628</v>
          </cell>
          <cell r="AU111">
            <v>519</v>
          </cell>
          <cell r="AV111">
            <v>543</v>
          </cell>
          <cell r="AW111">
            <v>530</v>
          </cell>
        </row>
        <row r="112">
          <cell r="B112">
            <v>539554</v>
          </cell>
          <cell r="C112" t="str">
            <v>Odrava (okres Cheb)</v>
          </cell>
          <cell r="D112" t="str">
            <v>Odrava (okres Cheb)</v>
          </cell>
          <cell r="E112">
            <v>253</v>
          </cell>
          <cell r="F112">
            <v>258</v>
          </cell>
          <cell r="G112">
            <v>232</v>
          </cell>
          <cell r="H112">
            <v>231</v>
          </cell>
          <cell r="I112">
            <v>257</v>
          </cell>
          <cell r="J112">
            <v>229</v>
          </cell>
          <cell r="K112">
            <v>143</v>
          </cell>
          <cell r="L112">
            <v>144</v>
          </cell>
          <cell r="M112">
            <v>154</v>
          </cell>
          <cell r="N112">
            <v>156</v>
          </cell>
          <cell r="O112">
            <v>166</v>
          </cell>
          <cell r="P112">
            <v>256</v>
          </cell>
          <cell r="Q112">
            <v>166</v>
          </cell>
          <cell r="R112">
            <v>176</v>
          </cell>
          <cell r="S112">
            <v>247</v>
          </cell>
          <cell r="T112">
            <v>239</v>
          </cell>
          <cell r="U112">
            <v>237</v>
          </cell>
          <cell r="V112">
            <v>242</v>
          </cell>
          <cell r="W112">
            <v>247</v>
          </cell>
          <cell r="X112">
            <v>237</v>
          </cell>
          <cell r="Y112">
            <v>218</v>
          </cell>
          <cell r="Z112">
            <v>223</v>
          </cell>
          <cell r="AA112">
            <v>218</v>
          </cell>
          <cell r="AB112">
            <v>203</v>
          </cell>
          <cell r="AC112">
            <v>213</v>
          </cell>
          <cell r="AD112">
            <v>203</v>
          </cell>
          <cell r="AE112">
            <v>198</v>
          </cell>
          <cell r="AF112">
            <v>212</v>
          </cell>
          <cell r="AG112">
            <v>207</v>
          </cell>
          <cell r="AH112">
            <v>200</v>
          </cell>
          <cell r="AI112">
            <v>148</v>
          </cell>
          <cell r="AJ112">
            <v>886</v>
          </cell>
          <cell r="AK112">
            <v>828</v>
          </cell>
          <cell r="AL112">
            <v>766</v>
          </cell>
          <cell r="AM112">
            <v>713</v>
          </cell>
          <cell r="AN112">
            <v>744</v>
          </cell>
          <cell r="AO112">
            <v>700</v>
          </cell>
          <cell r="AP112">
            <v>787</v>
          </cell>
          <cell r="AQ112">
            <v>373</v>
          </cell>
          <cell r="AR112">
            <v>299</v>
          </cell>
          <cell r="AS112">
            <v>262</v>
          </cell>
          <cell r="AT112">
            <v>229</v>
          </cell>
          <cell r="AU112">
            <v>204</v>
          </cell>
          <cell r="AV112">
            <v>237</v>
          </cell>
          <cell r="AW112">
            <v>238</v>
          </cell>
        </row>
        <row r="113">
          <cell r="B113">
            <v>538922</v>
          </cell>
          <cell r="C113" t="str">
            <v>Okrouhlá (okres Cheb)</v>
          </cell>
          <cell r="D113" t="str">
            <v>Okrouhlá (okres Cheb)</v>
          </cell>
          <cell r="E113">
            <v>255</v>
          </cell>
          <cell r="F113">
            <v>254</v>
          </cell>
          <cell r="G113">
            <v>252</v>
          </cell>
          <cell r="H113">
            <v>256</v>
          </cell>
          <cell r="I113">
            <v>252</v>
          </cell>
          <cell r="J113">
            <v>256</v>
          </cell>
          <cell r="K113">
            <v>217</v>
          </cell>
          <cell r="L113">
            <v>197</v>
          </cell>
          <cell r="M113">
            <v>199</v>
          </cell>
          <cell r="N113">
            <v>201</v>
          </cell>
          <cell r="O113">
            <v>202</v>
          </cell>
          <cell r="P113">
            <v>251</v>
          </cell>
          <cell r="Q113">
            <v>195</v>
          </cell>
          <cell r="R113">
            <v>197</v>
          </cell>
          <cell r="S113">
            <v>251</v>
          </cell>
          <cell r="T113">
            <v>244</v>
          </cell>
          <cell r="U113">
            <v>241</v>
          </cell>
          <cell r="V113">
            <v>247</v>
          </cell>
          <cell r="W113">
            <v>255</v>
          </cell>
          <cell r="X113">
            <v>251</v>
          </cell>
          <cell r="Y113">
            <v>265</v>
          </cell>
          <cell r="Z113">
            <v>249</v>
          </cell>
          <cell r="AA113">
            <v>248</v>
          </cell>
          <cell r="AB113">
            <v>244</v>
          </cell>
          <cell r="AC113">
            <v>241</v>
          </cell>
          <cell r="AD113">
            <v>239</v>
          </cell>
          <cell r="AE113">
            <v>234</v>
          </cell>
          <cell r="AF113">
            <v>239</v>
          </cell>
          <cell r="AG113">
            <v>237</v>
          </cell>
          <cell r="AH113">
            <v>235</v>
          </cell>
          <cell r="AI113">
            <v>222</v>
          </cell>
          <cell r="AJ113">
            <v>571</v>
          </cell>
          <cell r="AK113">
            <v>535</v>
          </cell>
          <cell r="AL113">
            <v>438</v>
          </cell>
          <cell r="AM113">
            <v>427</v>
          </cell>
          <cell r="AN113">
            <v>466</v>
          </cell>
          <cell r="AO113">
            <v>457</v>
          </cell>
          <cell r="AP113">
            <v>442</v>
          </cell>
          <cell r="AQ113">
            <v>205</v>
          </cell>
          <cell r="AR113">
            <v>282</v>
          </cell>
          <cell r="AS113">
            <v>234</v>
          </cell>
          <cell r="AT113">
            <v>214</v>
          </cell>
          <cell r="AU113">
            <v>195</v>
          </cell>
          <cell r="AV113">
            <v>254</v>
          </cell>
          <cell r="AW113">
            <v>266</v>
          </cell>
        </row>
        <row r="114">
          <cell r="B114">
            <v>560588</v>
          </cell>
          <cell r="C114" t="str">
            <v>Oloví (okres Sokolov)</v>
          </cell>
          <cell r="D114" t="str">
            <v>Oloví (okres Sokolov)</v>
          </cell>
          <cell r="E114">
            <v>1645</v>
          </cell>
          <cell r="F114">
            <v>1657</v>
          </cell>
          <cell r="G114">
            <v>1641</v>
          </cell>
          <cell r="H114">
            <v>1620</v>
          </cell>
          <cell r="I114">
            <v>1672</v>
          </cell>
          <cell r="J114">
            <v>1597</v>
          </cell>
          <cell r="K114">
            <v>1946</v>
          </cell>
          <cell r="L114">
            <v>1942</v>
          </cell>
          <cell r="M114">
            <v>1893</v>
          </cell>
          <cell r="N114">
            <v>1874</v>
          </cell>
          <cell r="O114">
            <v>1824</v>
          </cell>
          <cell r="P114">
            <v>1664</v>
          </cell>
          <cell r="Q114">
            <v>1834</v>
          </cell>
          <cell r="R114">
            <v>1827</v>
          </cell>
          <cell r="S114">
            <v>1742</v>
          </cell>
          <cell r="T114">
            <v>1774</v>
          </cell>
          <cell r="U114">
            <v>1778</v>
          </cell>
          <cell r="V114">
            <v>1801</v>
          </cell>
          <cell r="W114">
            <v>1851</v>
          </cell>
          <cell r="X114">
            <v>1875</v>
          </cell>
          <cell r="Y114">
            <v>1884</v>
          </cell>
          <cell r="Z114">
            <v>1925</v>
          </cell>
          <cell r="AA114">
            <v>1933</v>
          </cell>
          <cell r="AB114">
            <v>1881</v>
          </cell>
          <cell r="AC114">
            <v>1904</v>
          </cell>
          <cell r="AD114">
            <v>1907</v>
          </cell>
          <cell r="AE114">
            <v>1920</v>
          </cell>
          <cell r="AF114">
            <v>1909</v>
          </cell>
          <cell r="AG114">
            <v>1906</v>
          </cell>
          <cell r="AH114">
            <v>1900</v>
          </cell>
          <cell r="AI114">
            <v>1953</v>
          </cell>
          <cell r="AJ114">
            <v>2177</v>
          </cell>
          <cell r="AK114">
            <v>2194</v>
          </cell>
          <cell r="AL114">
            <v>1898</v>
          </cell>
          <cell r="AM114">
            <v>2472</v>
          </cell>
          <cell r="AN114">
            <v>3664</v>
          </cell>
          <cell r="AO114">
            <v>3396</v>
          </cell>
          <cell r="AP114">
            <v>3589</v>
          </cell>
          <cell r="AQ114">
            <v>1684</v>
          </cell>
          <cell r="AR114">
            <v>1943</v>
          </cell>
          <cell r="AS114">
            <v>2266</v>
          </cell>
          <cell r="AT114">
            <v>2146</v>
          </cell>
          <cell r="AU114">
            <v>1783</v>
          </cell>
          <cell r="AV114">
            <v>1651</v>
          </cell>
          <cell r="AW114">
            <v>1618</v>
          </cell>
        </row>
        <row r="115">
          <cell r="B115">
            <v>555428</v>
          </cell>
          <cell r="C115" t="str">
            <v>Ostrov (okres Karlovy Vary)</v>
          </cell>
          <cell r="D115" t="str">
            <v>Ostrov (okres Karlovy Vary)</v>
          </cell>
          <cell r="E115">
            <v>16491</v>
          </cell>
          <cell r="F115">
            <v>16658</v>
          </cell>
          <cell r="G115">
            <v>15825</v>
          </cell>
          <cell r="H115">
            <v>15894</v>
          </cell>
          <cell r="I115">
            <v>16731</v>
          </cell>
          <cell r="J115">
            <v>15822</v>
          </cell>
          <cell r="K115">
            <v>17978</v>
          </cell>
          <cell r="L115">
            <v>18005</v>
          </cell>
          <cell r="M115">
            <v>18079</v>
          </cell>
          <cell r="N115">
            <v>18086</v>
          </cell>
          <cell r="O115">
            <v>18166</v>
          </cell>
          <cell r="P115">
            <v>16865</v>
          </cell>
          <cell r="Q115">
            <v>18176</v>
          </cell>
          <cell r="R115">
            <v>18239</v>
          </cell>
          <cell r="S115">
            <v>16949</v>
          </cell>
          <cell r="T115">
            <v>17079</v>
          </cell>
          <cell r="U115">
            <v>17089</v>
          </cell>
          <cell r="V115">
            <v>17182</v>
          </cell>
          <cell r="W115">
            <v>17235</v>
          </cell>
          <cell r="X115">
            <v>17222</v>
          </cell>
          <cell r="Y115">
            <v>17305</v>
          </cell>
          <cell r="Z115">
            <v>17230</v>
          </cell>
          <cell r="AA115">
            <v>17357</v>
          </cell>
          <cell r="AB115">
            <v>17250</v>
          </cell>
          <cell r="AC115">
            <v>17066</v>
          </cell>
          <cell r="AD115">
            <v>17111</v>
          </cell>
          <cell r="AE115">
            <v>17193</v>
          </cell>
          <cell r="AF115">
            <v>17206</v>
          </cell>
          <cell r="AG115">
            <v>17376</v>
          </cell>
          <cell r="AH115">
            <v>17398</v>
          </cell>
          <cell r="AI115">
            <v>17849</v>
          </cell>
          <cell r="AJ115">
            <v>3664</v>
          </cell>
          <cell r="AK115">
            <v>4313</v>
          </cell>
          <cell r="AL115">
            <v>4420</v>
          </cell>
          <cell r="AM115">
            <v>4577</v>
          </cell>
          <cell r="AN115">
            <v>4810</v>
          </cell>
          <cell r="AO115">
            <v>4670</v>
          </cell>
          <cell r="AP115">
            <v>5135</v>
          </cell>
          <cell r="AQ115">
            <v>4047</v>
          </cell>
          <cell r="AR115">
            <v>17136</v>
          </cell>
          <cell r="AS115">
            <v>18519</v>
          </cell>
          <cell r="AT115">
            <v>19450</v>
          </cell>
          <cell r="AU115">
            <v>17872</v>
          </cell>
          <cell r="AV115">
            <v>15681</v>
          </cell>
          <cell r="AW115">
            <v>15615</v>
          </cell>
        </row>
        <row r="116">
          <cell r="B116">
            <v>537969</v>
          </cell>
          <cell r="C116" t="str">
            <v>Otovice (okres Karlovy Vary)</v>
          </cell>
          <cell r="D116" t="str">
            <v>Otovice (okres Karlovy Vary)</v>
          </cell>
          <cell r="E116">
            <v>960</v>
          </cell>
          <cell r="F116">
            <v>950</v>
          </cell>
          <cell r="G116">
            <v>1027</v>
          </cell>
          <cell r="H116">
            <v>1030</v>
          </cell>
          <cell r="I116">
            <v>916</v>
          </cell>
          <cell r="J116">
            <v>971</v>
          </cell>
          <cell r="K116">
            <v>561</v>
          </cell>
          <cell r="L116">
            <v>550</v>
          </cell>
          <cell r="M116">
            <v>516</v>
          </cell>
          <cell r="N116">
            <v>506</v>
          </cell>
          <cell r="O116">
            <v>496</v>
          </cell>
          <cell r="P116">
            <v>900</v>
          </cell>
          <cell r="Q116">
            <v>495</v>
          </cell>
          <cell r="R116">
            <v>495</v>
          </cell>
          <cell r="S116">
            <v>892</v>
          </cell>
          <cell r="T116">
            <v>837</v>
          </cell>
          <cell r="U116">
            <v>812</v>
          </cell>
          <cell r="V116">
            <v>769</v>
          </cell>
          <cell r="W116">
            <v>737</v>
          </cell>
          <cell r="X116">
            <v>713</v>
          </cell>
          <cell r="Y116">
            <v>643</v>
          </cell>
          <cell r="Z116">
            <v>605</v>
          </cell>
          <cell r="AA116">
            <v>597</v>
          </cell>
          <cell r="AB116">
            <v>585</v>
          </cell>
          <cell r="AC116">
            <v>600</v>
          </cell>
          <cell r="AD116">
            <v>613</v>
          </cell>
          <cell r="AE116">
            <v>629</v>
          </cell>
          <cell r="AF116">
            <v>598</v>
          </cell>
          <cell r="AG116">
            <v>590</v>
          </cell>
          <cell r="AH116">
            <v>574</v>
          </cell>
          <cell r="AI116">
            <v>572</v>
          </cell>
          <cell r="AJ116">
            <v>335</v>
          </cell>
          <cell r="AK116">
            <v>614</v>
          </cell>
          <cell r="AL116">
            <v>851</v>
          </cell>
          <cell r="AM116">
            <v>1054</v>
          </cell>
          <cell r="AN116">
            <v>1060</v>
          </cell>
          <cell r="AO116">
            <v>1033</v>
          </cell>
          <cell r="AP116">
            <v>1480</v>
          </cell>
          <cell r="AQ116">
            <v>797</v>
          </cell>
          <cell r="AR116">
            <v>709</v>
          </cell>
          <cell r="AS116">
            <v>602</v>
          </cell>
          <cell r="AT116">
            <v>569</v>
          </cell>
          <cell r="AU116">
            <v>510</v>
          </cell>
          <cell r="AV116">
            <v>1041</v>
          </cell>
          <cell r="AW116">
            <v>1061</v>
          </cell>
        </row>
        <row r="117">
          <cell r="B117">
            <v>555444</v>
          </cell>
          <cell r="C117" t="str">
            <v>Otročín (okres Karlovy Vary)</v>
          </cell>
          <cell r="D117" t="str">
            <v>Otročín (okres Karlovy Vary)</v>
          </cell>
          <cell r="E117">
            <v>433</v>
          </cell>
          <cell r="F117">
            <v>436</v>
          </cell>
          <cell r="G117">
            <v>446</v>
          </cell>
          <cell r="H117">
            <v>438</v>
          </cell>
          <cell r="I117">
            <v>454</v>
          </cell>
          <cell r="J117">
            <v>449</v>
          </cell>
          <cell r="K117">
            <v>557</v>
          </cell>
          <cell r="L117">
            <v>563</v>
          </cell>
          <cell r="M117">
            <v>564</v>
          </cell>
          <cell r="N117">
            <v>565</v>
          </cell>
          <cell r="O117">
            <v>579</v>
          </cell>
          <cell r="P117">
            <v>467</v>
          </cell>
          <cell r="Q117">
            <v>565</v>
          </cell>
          <cell r="R117">
            <v>575</v>
          </cell>
          <cell r="S117">
            <v>460</v>
          </cell>
          <cell r="T117">
            <v>461</v>
          </cell>
          <cell r="U117">
            <v>479</v>
          </cell>
          <cell r="V117">
            <v>472</v>
          </cell>
          <cell r="W117">
            <v>497</v>
          </cell>
          <cell r="X117">
            <v>503</v>
          </cell>
          <cell r="Y117">
            <v>525</v>
          </cell>
          <cell r="Z117">
            <v>525</v>
          </cell>
          <cell r="AA117">
            <v>522</v>
          </cell>
          <cell r="AB117">
            <v>527</v>
          </cell>
          <cell r="AC117">
            <v>527</v>
          </cell>
          <cell r="AD117">
            <v>530</v>
          </cell>
          <cell r="AE117">
            <v>524</v>
          </cell>
          <cell r="AF117">
            <v>546</v>
          </cell>
          <cell r="AG117">
            <v>535</v>
          </cell>
          <cell r="AH117">
            <v>545</v>
          </cell>
          <cell r="AI117">
            <v>558</v>
          </cell>
          <cell r="AJ117">
            <v>2025</v>
          </cell>
          <cell r="AK117">
            <v>2075</v>
          </cell>
          <cell r="AL117">
            <v>2147</v>
          </cell>
          <cell r="AM117">
            <v>2205</v>
          </cell>
          <cell r="AN117">
            <v>2119</v>
          </cell>
          <cell r="AO117">
            <v>2017</v>
          </cell>
          <cell r="AP117">
            <v>1970</v>
          </cell>
          <cell r="AQ117">
            <v>880</v>
          </cell>
          <cell r="AR117">
            <v>770</v>
          </cell>
          <cell r="AS117">
            <v>665</v>
          </cell>
          <cell r="AT117">
            <v>590</v>
          </cell>
          <cell r="AU117">
            <v>567</v>
          </cell>
          <cell r="AV117">
            <v>437</v>
          </cell>
          <cell r="AW117">
            <v>438</v>
          </cell>
        </row>
        <row r="118">
          <cell r="B118">
            <v>539473</v>
          </cell>
          <cell r="C118" t="str">
            <v>Ovesné Kladruby (okres Cheb)</v>
          </cell>
          <cell r="D118" t="str">
            <v>Ovesné Kladruby (okres Cheb)</v>
          </cell>
          <cell r="E118">
            <v>125</v>
          </cell>
          <cell r="F118">
            <v>124</v>
          </cell>
          <cell r="G118">
            <v>144</v>
          </cell>
          <cell r="H118">
            <v>142</v>
          </cell>
          <cell r="I118">
            <v>123</v>
          </cell>
          <cell r="J118">
            <v>127</v>
          </cell>
          <cell r="K118">
            <v>104</v>
          </cell>
          <cell r="L118">
            <v>104</v>
          </cell>
          <cell r="M118">
            <v>104</v>
          </cell>
          <cell r="N118">
            <v>105</v>
          </cell>
          <cell r="O118">
            <v>108</v>
          </cell>
          <cell r="P118">
            <v>121</v>
          </cell>
          <cell r="Q118">
            <v>108</v>
          </cell>
          <cell r="R118">
            <v>102</v>
          </cell>
          <cell r="S118">
            <v>124</v>
          </cell>
          <cell r="T118">
            <v>121</v>
          </cell>
          <cell r="U118">
            <v>122</v>
          </cell>
          <cell r="V118">
            <v>122</v>
          </cell>
          <cell r="W118">
            <v>119</v>
          </cell>
          <cell r="X118">
            <v>117</v>
          </cell>
          <cell r="Y118">
            <v>105</v>
          </cell>
          <cell r="Z118">
            <v>112</v>
          </cell>
          <cell r="AA118">
            <v>123</v>
          </cell>
          <cell r="AB118">
            <v>126</v>
          </cell>
          <cell r="AC118">
            <v>121</v>
          </cell>
          <cell r="AD118">
            <v>116</v>
          </cell>
          <cell r="AE118">
            <v>122</v>
          </cell>
          <cell r="AF118">
            <v>119</v>
          </cell>
          <cell r="AG118">
            <v>120</v>
          </cell>
          <cell r="AH118">
            <v>124</v>
          </cell>
          <cell r="AI118">
            <v>109</v>
          </cell>
          <cell r="AJ118">
            <v>565</v>
          </cell>
          <cell r="AK118">
            <v>602</v>
          </cell>
          <cell r="AL118">
            <v>633</v>
          </cell>
          <cell r="AM118">
            <v>677</v>
          </cell>
          <cell r="AN118">
            <v>663</v>
          </cell>
          <cell r="AO118">
            <v>643</v>
          </cell>
          <cell r="AP118">
            <v>696</v>
          </cell>
          <cell r="AQ118">
            <v>205</v>
          </cell>
          <cell r="AR118">
            <v>196</v>
          </cell>
          <cell r="AS118">
            <v>184</v>
          </cell>
          <cell r="AT118">
            <v>127</v>
          </cell>
          <cell r="AU118">
            <v>104</v>
          </cell>
          <cell r="AV118">
            <v>142</v>
          </cell>
          <cell r="AW118">
            <v>149</v>
          </cell>
        </row>
        <row r="119">
          <cell r="B119">
            <v>555452</v>
          </cell>
          <cell r="C119" t="str">
            <v>Pernink (okres Karlovy Vary)</v>
          </cell>
          <cell r="D119" t="str">
            <v>Pernink (okres Karlovy Vary)</v>
          </cell>
          <cell r="E119">
            <v>572</v>
          </cell>
          <cell r="F119">
            <v>595</v>
          </cell>
          <cell r="G119">
            <v>595</v>
          </cell>
          <cell r="H119">
            <v>640</v>
          </cell>
          <cell r="I119">
            <v>621</v>
          </cell>
          <cell r="J119">
            <v>596</v>
          </cell>
          <cell r="K119">
            <v>785</v>
          </cell>
          <cell r="L119">
            <v>755</v>
          </cell>
          <cell r="M119">
            <v>738</v>
          </cell>
          <cell r="N119">
            <v>705</v>
          </cell>
          <cell r="O119">
            <v>717</v>
          </cell>
          <cell r="P119">
            <v>630</v>
          </cell>
          <cell r="Q119">
            <v>717</v>
          </cell>
          <cell r="R119">
            <v>725</v>
          </cell>
          <cell r="S119">
            <v>632</v>
          </cell>
          <cell r="T119">
            <v>644</v>
          </cell>
          <cell r="U119">
            <v>649</v>
          </cell>
          <cell r="V119">
            <v>663</v>
          </cell>
          <cell r="W119">
            <v>700</v>
          </cell>
          <cell r="X119">
            <v>715</v>
          </cell>
          <cell r="Y119">
            <v>663</v>
          </cell>
          <cell r="Z119">
            <v>722</v>
          </cell>
          <cell r="AA119">
            <v>955</v>
          </cell>
          <cell r="AB119">
            <v>1084</v>
          </cell>
          <cell r="AC119">
            <v>1073</v>
          </cell>
          <cell r="AD119">
            <v>1030</v>
          </cell>
          <cell r="AE119">
            <v>1036</v>
          </cell>
          <cell r="AF119">
            <v>969</v>
          </cell>
          <cell r="AG119">
            <v>1032</v>
          </cell>
          <cell r="AH119">
            <v>1004</v>
          </cell>
          <cell r="AI119">
            <v>782</v>
          </cell>
          <cell r="AJ119">
            <v>2219</v>
          </cell>
          <cell r="AK119">
            <v>2444</v>
          </cell>
          <cell r="AL119">
            <v>2544</v>
          </cell>
          <cell r="AM119">
            <v>2860</v>
          </cell>
          <cell r="AN119">
            <v>3019</v>
          </cell>
          <cell r="AO119">
            <v>2506</v>
          </cell>
          <cell r="AP119">
            <v>3023</v>
          </cell>
          <cell r="AQ119">
            <v>1376</v>
          </cell>
          <cell r="AR119">
            <v>1253</v>
          </cell>
          <cell r="AS119">
            <v>927</v>
          </cell>
          <cell r="AT119">
            <v>794</v>
          </cell>
          <cell r="AU119">
            <v>709</v>
          </cell>
          <cell r="AV119">
            <v>583</v>
          </cell>
          <cell r="AW119">
            <v>581</v>
          </cell>
        </row>
        <row r="120">
          <cell r="B120">
            <v>556947</v>
          </cell>
          <cell r="C120" t="str">
            <v>Pila (okres Karlovy Vary)</v>
          </cell>
          <cell r="D120" t="str">
            <v>Pila (okres Karlovy Vary)</v>
          </cell>
          <cell r="E120">
            <v>561</v>
          </cell>
          <cell r="F120">
            <v>552</v>
          </cell>
          <cell r="G120">
            <v>583</v>
          </cell>
          <cell r="H120">
            <v>579</v>
          </cell>
          <cell r="I120">
            <v>535</v>
          </cell>
          <cell r="J120">
            <v>558</v>
          </cell>
          <cell r="K120"/>
          <cell r="L120"/>
          <cell r="M120"/>
          <cell r="N120"/>
          <cell r="O120"/>
          <cell r="P120">
            <v>533</v>
          </cell>
          <cell r="Q120"/>
          <cell r="R120"/>
          <cell r="S120">
            <v>530</v>
          </cell>
          <cell r="T120">
            <v>521</v>
          </cell>
          <cell r="U120">
            <v>509</v>
          </cell>
          <cell r="V120">
            <v>512</v>
          </cell>
          <cell r="W120">
            <v>498</v>
          </cell>
          <cell r="X120">
            <v>495</v>
          </cell>
          <cell r="Y120">
            <v>460</v>
          </cell>
          <cell r="Z120">
            <v>455</v>
          </cell>
          <cell r="AA120">
            <v>446</v>
          </cell>
          <cell r="AB120">
            <v>430</v>
          </cell>
          <cell r="AC120">
            <v>432</v>
          </cell>
          <cell r="AD120">
            <v>420</v>
          </cell>
          <cell r="AE120">
            <v>412</v>
          </cell>
          <cell r="AF120">
            <v>397</v>
          </cell>
          <cell r="AG120">
            <v>406</v>
          </cell>
          <cell r="AH120">
            <v>414</v>
          </cell>
          <cell r="AI120">
            <v>418</v>
          </cell>
          <cell r="AJ120">
            <v>674</v>
          </cell>
          <cell r="AK120">
            <v>775</v>
          </cell>
          <cell r="AL120">
            <v>697</v>
          </cell>
          <cell r="AM120">
            <v>725</v>
          </cell>
          <cell r="AN120">
            <v>857</v>
          </cell>
          <cell r="AO120">
            <v>803</v>
          </cell>
          <cell r="AP120">
            <v>829</v>
          </cell>
          <cell r="AQ120">
            <v>456</v>
          </cell>
          <cell r="AR120">
            <v>499</v>
          </cell>
          <cell r="AS120">
            <v>424</v>
          </cell>
          <cell r="AT120">
            <v>440</v>
          </cell>
          <cell r="AU120">
            <v>412</v>
          </cell>
          <cell r="AV120">
            <v>577</v>
          </cell>
          <cell r="AW120">
            <v>573</v>
          </cell>
        </row>
        <row r="121">
          <cell r="B121">
            <v>554740</v>
          </cell>
          <cell r="C121" t="str">
            <v>Plesná (okres Cheb)</v>
          </cell>
          <cell r="D121" t="str">
            <v>Plesná (okres Cheb)</v>
          </cell>
          <cell r="E121">
            <v>1969</v>
          </cell>
          <cell r="F121">
            <v>1940</v>
          </cell>
          <cell r="G121">
            <v>1909</v>
          </cell>
          <cell r="H121">
            <v>1917</v>
          </cell>
          <cell r="I121">
            <v>1935</v>
          </cell>
          <cell r="J121">
            <v>1904</v>
          </cell>
          <cell r="K121">
            <v>1936</v>
          </cell>
          <cell r="L121">
            <v>1931</v>
          </cell>
          <cell r="M121">
            <v>1942</v>
          </cell>
          <cell r="N121">
            <v>1947</v>
          </cell>
          <cell r="O121">
            <v>1927</v>
          </cell>
          <cell r="P121">
            <v>1974</v>
          </cell>
          <cell r="Q121">
            <v>1890</v>
          </cell>
          <cell r="R121">
            <v>1863</v>
          </cell>
          <cell r="S121">
            <v>1967</v>
          </cell>
          <cell r="T121">
            <v>1953</v>
          </cell>
          <cell r="U121">
            <v>1973</v>
          </cell>
          <cell r="V121">
            <v>1994</v>
          </cell>
          <cell r="W121">
            <v>2014</v>
          </cell>
          <cell r="X121">
            <v>2050</v>
          </cell>
          <cell r="Y121">
            <v>2107</v>
          </cell>
          <cell r="Z121">
            <v>2097</v>
          </cell>
          <cell r="AA121">
            <v>2072</v>
          </cell>
          <cell r="AB121">
            <v>2072</v>
          </cell>
          <cell r="AC121">
            <v>2047</v>
          </cell>
          <cell r="AD121">
            <v>1997</v>
          </cell>
          <cell r="AE121">
            <v>2049</v>
          </cell>
          <cell r="AF121">
            <v>2077</v>
          </cell>
          <cell r="AG121">
            <v>2052</v>
          </cell>
          <cell r="AH121">
            <v>2005</v>
          </cell>
          <cell r="AI121">
            <v>1933</v>
          </cell>
          <cell r="AJ121">
            <v>2907</v>
          </cell>
          <cell r="AK121">
            <v>3040</v>
          </cell>
          <cell r="AL121">
            <v>3239</v>
          </cell>
          <cell r="AM121">
            <v>3861</v>
          </cell>
          <cell r="AN121">
            <v>4725</v>
          </cell>
          <cell r="AO121">
            <v>4416</v>
          </cell>
          <cell r="AP121">
            <v>5425</v>
          </cell>
          <cell r="AQ121">
            <v>2126</v>
          </cell>
          <cell r="AR121">
            <v>1996</v>
          </cell>
          <cell r="AS121">
            <v>2014</v>
          </cell>
          <cell r="AT121">
            <v>1883</v>
          </cell>
          <cell r="AU121">
            <v>1692</v>
          </cell>
          <cell r="AV121">
            <v>1886</v>
          </cell>
          <cell r="AW121">
            <v>1890</v>
          </cell>
        </row>
        <row r="122">
          <cell r="B122">
            <v>538817</v>
          </cell>
          <cell r="C122" t="str">
            <v>Podhradí (okres Cheb)</v>
          </cell>
          <cell r="D122" t="str">
            <v>Podhradí (okres Cheb)</v>
          </cell>
          <cell r="E122">
            <v>195</v>
          </cell>
          <cell r="F122">
            <v>188</v>
          </cell>
          <cell r="G122">
            <v>216</v>
          </cell>
          <cell r="H122">
            <v>216</v>
          </cell>
          <cell r="I122">
            <v>197</v>
          </cell>
          <cell r="J122">
            <v>205</v>
          </cell>
          <cell r="K122">
            <v>123</v>
          </cell>
          <cell r="L122">
            <v>118</v>
          </cell>
          <cell r="M122">
            <v>118</v>
          </cell>
          <cell r="N122">
            <v>113</v>
          </cell>
          <cell r="O122">
            <v>114</v>
          </cell>
          <cell r="P122">
            <v>200</v>
          </cell>
          <cell r="Q122">
            <v>109</v>
          </cell>
          <cell r="R122">
            <v>115</v>
          </cell>
          <cell r="S122">
            <v>198</v>
          </cell>
          <cell r="T122">
            <v>197</v>
          </cell>
          <cell r="U122">
            <v>193</v>
          </cell>
          <cell r="V122">
            <v>186</v>
          </cell>
          <cell r="W122">
            <v>180</v>
          </cell>
          <cell r="X122">
            <v>183</v>
          </cell>
          <cell r="Y122">
            <v>172</v>
          </cell>
          <cell r="Z122">
            <v>179</v>
          </cell>
          <cell r="AA122">
            <v>179</v>
          </cell>
          <cell r="AB122">
            <v>157</v>
          </cell>
          <cell r="AC122">
            <v>149</v>
          </cell>
          <cell r="AD122">
            <v>130</v>
          </cell>
          <cell r="AE122">
            <v>130</v>
          </cell>
          <cell r="AF122">
            <v>139</v>
          </cell>
          <cell r="AG122">
            <v>153</v>
          </cell>
          <cell r="AH122">
            <v>161</v>
          </cell>
          <cell r="AI122">
            <v>116</v>
          </cell>
          <cell r="AJ122">
            <v>1461</v>
          </cell>
          <cell r="AK122">
            <v>1392</v>
          </cell>
          <cell r="AL122">
            <v>1466</v>
          </cell>
          <cell r="AM122">
            <v>1618</v>
          </cell>
          <cell r="AN122">
            <v>1737</v>
          </cell>
          <cell r="AO122">
            <v>2009</v>
          </cell>
          <cell r="AP122">
            <v>1360</v>
          </cell>
          <cell r="AQ122">
            <v>454</v>
          </cell>
          <cell r="AR122">
            <v>321</v>
          </cell>
          <cell r="AS122">
            <v>257</v>
          </cell>
          <cell r="AT122">
            <v>180</v>
          </cell>
          <cell r="AU122">
            <v>138</v>
          </cell>
          <cell r="AV122">
            <v>214</v>
          </cell>
          <cell r="AW122">
            <v>219</v>
          </cell>
        </row>
        <row r="123">
          <cell r="B123">
            <v>538868</v>
          </cell>
          <cell r="C123" t="str">
            <v>Pomezí nad Ohří (okres Cheb)</v>
          </cell>
          <cell r="D123" t="str">
            <v>Pomezí nad Ohří (okres Cheb)</v>
          </cell>
          <cell r="E123">
            <v>314</v>
          </cell>
          <cell r="F123">
            <v>302</v>
          </cell>
          <cell r="G123">
            <v>361</v>
          </cell>
          <cell r="H123">
            <v>352</v>
          </cell>
          <cell r="I123">
            <v>293</v>
          </cell>
          <cell r="J123">
            <v>332</v>
          </cell>
          <cell r="K123">
            <v>59</v>
          </cell>
          <cell r="L123">
            <v>61</v>
          </cell>
          <cell r="M123">
            <v>59</v>
          </cell>
          <cell r="N123">
            <v>57</v>
          </cell>
          <cell r="O123">
            <v>58</v>
          </cell>
          <cell r="P123">
            <v>262</v>
          </cell>
          <cell r="Q123">
            <v>55</v>
          </cell>
          <cell r="R123">
            <v>60</v>
          </cell>
          <cell r="S123">
            <v>248</v>
          </cell>
          <cell r="T123">
            <v>223</v>
          </cell>
          <cell r="U123">
            <v>224</v>
          </cell>
          <cell r="V123">
            <v>200</v>
          </cell>
          <cell r="W123">
            <v>192</v>
          </cell>
          <cell r="X123">
            <v>166</v>
          </cell>
          <cell r="Y123">
            <v>148</v>
          </cell>
          <cell r="Z123">
            <v>140</v>
          </cell>
          <cell r="AA123">
            <v>138</v>
          </cell>
          <cell r="AB123">
            <v>132</v>
          </cell>
          <cell r="AC123">
            <v>116</v>
          </cell>
          <cell r="AD123">
            <v>108</v>
          </cell>
          <cell r="AE123">
            <v>103</v>
          </cell>
          <cell r="AF123">
            <v>94</v>
          </cell>
          <cell r="AG123">
            <v>81</v>
          </cell>
          <cell r="AH123">
            <v>74</v>
          </cell>
          <cell r="AI123">
            <v>62</v>
          </cell>
          <cell r="AJ123">
            <v>759</v>
          </cell>
          <cell r="AK123">
            <v>814</v>
          </cell>
          <cell r="AL123">
            <v>653</v>
          </cell>
          <cell r="AM123">
            <v>646</v>
          </cell>
          <cell r="AN123">
            <v>701</v>
          </cell>
          <cell r="AO123">
            <v>625</v>
          </cell>
          <cell r="AP123">
            <v>667</v>
          </cell>
          <cell r="AQ123">
            <v>159</v>
          </cell>
          <cell r="AR123">
            <v>128</v>
          </cell>
          <cell r="AS123">
            <v>137</v>
          </cell>
          <cell r="AT123">
            <v>112</v>
          </cell>
          <cell r="AU123">
            <v>57</v>
          </cell>
          <cell r="AV123">
            <v>360</v>
          </cell>
          <cell r="AW123">
            <v>378</v>
          </cell>
        </row>
        <row r="124">
          <cell r="B124">
            <v>555479</v>
          </cell>
          <cell r="C124" t="str">
            <v>Potůčky (okres Karlovy Vary)</v>
          </cell>
          <cell r="D124" t="str">
            <v>Potůčky (okres Karlovy Vary)</v>
          </cell>
          <cell r="E124">
            <v>425</v>
          </cell>
          <cell r="F124">
            <v>436</v>
          </cell>
          <cell r="G124">
            <v>427</v>
          </cell>
          <cell r="H124">
            <v>415</v>
          </cell>
          <cell r="I124">
            <v>450</v>
          </cell>
          <cell r="J124">
            <v>400</v>
          </cell>
          <cell r="K124">
            <v>354</v>
          </cell>
          <cell r="L124">
            <v>354</v>
          </cell>
          <cell r="M124">
            <v>356</v>
          </cell>
          <cell r="N124">
            <v>349</v>
          </cell>
          <cell r="O124">
            <v>353</v>
          </cell>
          <cell r="P124">
            <v>439</v>
          </cell>
          <cell r="Q124">
            <v>361</v>
          </cell>
          <cell r="R124">
            <v>359</v>
          </cell>
          <cell r="S124">
            <v>423</v>
          </cell>
          <cell r="T124">
            <v>445</v>
          </cell>
          <cell r="U124">
            <v>456</v>
          </cell>
          <cell r="V124">
            <v>465</v>
          </cell>
          <cell r="W124">
            <v>474</v>
          </cell>
          <cell r="X124">
            <v>479</v>
          </cell>
          <cell r="Y124">
            <v>454</v>
          </cell>
          <cell r="Z124">
            <v>428</v>
          </cell>
          <cell r="AA124">
            <v>412</v>
          </cell>
          <cell r="AB124">
            <v>400</v>
          </cell>
          <cell r="AC124">
            <v>398</v>
          </cell>
          <cell r="AD124">
            <v>384</v>
          </cell>
          <cell r="AE124">
            <v>368</v>
          </cell>
          <cell r="AF124">
            <v>371</v>
          </cell>
          <cell r="AG124">
            <v>388</v>
          </cell>
          <cell r="AH124">
            <v>366</v>
          </cell>
          <cell r="AI124">
            <v>364</v>
          </cell>
          <cell r="AJ124">
            <v>1098</v>
          </cell>
          <cell r="AK124">
            <v>1272</v>
          </cell>
          <cell r="AL124">
            <v>1387</v>
          </cell>
          <cell r="AM124">
            <v>1403</v>
          </cell>
          <cell r="AN124">
            <v>1560</v>
          </cell>
          <cell r="AO124">
            <v>1425</v>
          </cell>
          <cell r="AP124">
            <v>1692</v>
          </cell>
          <cell r="AQ124">
            <v>409</v>
          </cell>
          <cell r="AR124">
            <v>341</v>
          </cell>
          <cell r="AS124">
            <v>407</v>
          </cell>
          <cell r="AT124">
            <v>359</v>
          </cell>
          <cell r="AU124">
            <v>344</v>
          </cell>
          <cell r="AV124">
            <v>406</v>
          </cell>
          <cell r="AW124">
            <v>405</v>
          </cell>
        </row>
        <row r="125">
          <cell r="B125">
            <v>577979</v>
          </cell>
          <cell r="C125" t="str">
            <v>Poustka (okres Cheb)</v>
          </cell>
          <cell r="D125" t="str">
            <v>Poustka (okres Cheb)</v>
          </cell>
          <cell r="E125">
            <v>172</v>
          </cell>
          <cell r="F125">
            <v>166</v>
          </cell>
          <cell r="G125">
            <v>170</v>
          </cell>
          <cell r="H125">
            <v>164</v>
          </cell>
          <cell r="I125">
            <v>160</v>
          </cell>
          <cell r="J125">
            <v>165</v>
          </cell>
          <cell r="K125">
            <v>87</v>
          </cell>
          <cell r="L125">
            <v>91</v>
          </cell>
          <cell r="M125">
            <v>95</v>
          </cell>
          <cell r="N125">
            <v>97</v>
          </cell>
          <cell r="O125">
            <v>99</v>
          </cell>
          <cell r="P125">
            <v>153</v>
          </cell>
          <cell r="Q125">
            <v>106</v>
          </cell>
          <cell r="R125">
            <v>103</v>
          </cell>
          <cell r="S125">
            <v>166</v>
          </cell>
          <cell r="T125">
            <v>155</v>
          </cell>
          <cell r="U125">
            <v>150</v>
          </cell>
          <cell r="V125">
            <v>156</v>
          </cell>
          <cell r="W125">
            <v>160</v>
          </cell>
          <cell r="X125">
            <v>162</v>
          </cell>
          <cell r="Y125">
            <v>168</v>
          </cell>
          <cell r="Z125">
            <v>156</v>
          </cell>
          <cell r="AA125">
            <v>157</v>
          </cell>
          <cell r="AB125">
            <v>116</v>
          </cell>
          <cell r="AC125">
            <v>122</v>
          </cell>
          <cell r="AD125">
            <v>112</v>
          </cell>
          <cell r="AE125">
            <v>117</v>
          </cell>
          <cell r="AF125">
            <v>117</v>
          </cell>
          <cell r="AG125">
            <v>120</v>
          </cell>
          <cell r="AH125">
            <v>114</v>
          </cell>
          <cell r="AI125">
            <v>86</v>
          </cell>
          <cell r="AJ125">
            <v>734</v>
          </cell>
          <cell r="AK125">
            <v>806</v>
          </cell>
          <cell r="AL125">
            <v>734</v>
          </cell>
          <cell r="AM125">
            <v>662</v>
          </cell>
          <cell r="AN125">
            <v>660</v>
          </cell>
          <cell r="AO125">
            <v>542</v>
          </cell>
          <cell r="AP125">
            <v>552</v>
          </cell>
          <cell r="AQ125">
            <v>148</v>
          </cell>
          <cell r="AR125">
            <v>115</v>
          </cell>
          <cell r="AS125">
            <v>109</v>
          </cell>
          <cell r="AT125">
            <v>114</v>
          </cell>
          <cell r="AU125">
            <v>99</v>
          </cell>
          <cell r="AV125">
            <v>168</v>
          </cell>
          <cell r="AW125">
            <v>170</v>
          </cell>
        </row>
        <row r="126">
          <cell r="B126">
            <v>539538</v>
          </cell>
          <cell r="C126" t="str">
            <v>Prameny (okres Cheb)</v>
          </cell>
          <cell r="D126" t="str">
            <v>Prameny (okres Cheb)</v>
          </cell>
          <cell r="E126">
            <v>102</v>
          </cell>
          <cell r="F126">
            <v>106</v>
          </cell>
          <cell r="G126">
            <v>109</v>
          </cell>
          <cell r="H126">
            <v>127</v>
          </cell>
          <cell r="I126">
            <v>106</v>
          </cell>
          <cell r="J126">
            <v>106</v>
          </cell>
          <cell r="K126">
            <v>137</v>
          </cell>
          <cell r="L126">
            <v>137</v>
          </cell>
          <cell r="M126">
            <v>136</v>
          </cell>
          <cell r="N126">
            <v>134</v>
          </cell>
          <cell r="O126">
            <v>131</v>
          </cell>
          <cell r="P126">
            <v>102</v>
          </cell>
          <cell r="Q126">
            <v>135</v>
          </cell>
          <cell r="R126">
            <v>128</v>
          </cell>
          <cell r="S126">
            <v>109</v>
          </cell>
          <cell r="T126">
            <v>117</v>
          </cell>
          <cell r="U126">
            <v>120</v>
          </cell>
          <cell r="V126">
            <v>118</v>
          </cell>
          <cell r="W126">
            <v>112</v>
          </cell>
          <cell r="X126">
            <v>125</v>
          </cell>
          <cell r="Y126">
            <v>143</v>
          </cell>
          <cell r="Z126">
            <v>146</v>
          </cell>
          <cell r="AA126">
            <v>145</v>
          </cell>
          <cell r="AB126">
            <v>141</v>
          </cell>
          <cell r="AC126">
            <v>145</v>
          </cell>
          <cell r="AD126">
            <v>148</v>
          </cell>
          <cell r="AE126">
            <v>153</v>
          </cell>
          <cell r="AF126">
            <v>149</v>
          </cell>
          <cell r="AG126">
            <v>151</v>
          </cell>
          <cell r="AH126">
            <v>143</v>
          </cell>
          <cell r="AI126">
            <v>134</v>
          </cell>
          <cell r="AJ126">
            <v>2335</v>
          </cell>
          <cell r="AK126">
            <v>2415</v>
          </cell>
          <cell r="AL126">
            <v>2161</v>
          </cell>
          <cell r="AM126">
            <v>1947</v>
          </cell>
          <cell r="AN126">
            <v>1784</v>
          </cell>
          <cell r="AO126">
            <v>1381</v>
          </cell>
          <cell r="AP126">
            <v>1527</v>
          </cell>
          <cell r="AQ126">
            <v>300</v>
          </cell>
          <cell r="AR126">
            <v>181</v>
          </cell>
          <cell r="AS126">
            <v>271</v>
          </cell>
          <cell r="AT126">
            <v>232</v>
          </cell>
          <cell r="AU126">
            <v>135</v>
          </cell>
          <cell r="AV126">
            <v>103</v>
          </cell>
          <cell r="AW126">
            <v>89</v>
          </cell>
        </row>
        <row r="127">
          <cell r="B127">
            <v>560596</v>
          </cell>
          <cell r="C127" t="str">
            <v>Přebuz (okres Sokolov)</v>
          </cell>
          <cell r="D127" t="str">
            <v>Přebuz (okres Sokolov)</v>
          </cell>
          <cell r="E127">
            <v>73</v>
          </cell>
          <cell r="F127">
            <v>73</v>
          </cell>
          <cell r="G127">
            <v>76</v>
          </cell>
          <cell r="H127">
            <v>79</v>
          </cell>
          <cell r="I127">
            <v>73</v>
          </cell>
          <cell r="J127">
            <v>77</v>
          </cell>
          <cell r="K127">
            <v>75</v>
          </cell>
          <cell r="L127">
            <v>75</v>
          </cell>
          <cell r="M127">
            <v>73</v>
          </cell>
          <cell r="N127">
            <v>72</v>
          </cell>
          <cell r="O127">
            <v>76</v>
          </cell>
          <cell r="P127">
            <v>69</v>
          </cell>
          <cell r="Q127">
            <v>80</v>
          </cell>
          <cell r="R127">
            <v>76</v>
          </cell>
          <cell r="S127">
            <v>69</v>
          </cell>
          <cell r="T127">
            <v>71</v>
          </cell>
          <cell r="U127">
            <v>75</v>
          </cell>
          <cell r="V127">
            <v>72</v>
          </cell>
          <cell r="W127">
            <v>72</v>
          </cell>
          <cell r="X127">
            <v>75</v>
          </cell>
          <cell r="Y127">
            <v>81</v>
          </cell>
          <cell r="Z127">
            <v>74</v>
          </cell>
          <cell r="AA127">
            <v>77</v>
          </cell>
          <cell r="AB127">
            <v>81</v>
          </cell>
          <cell r="AC127">
            <v>87</v>
          </cell>
          <cell r="AD127">
            <v>86</v>
          </cell>
          <cell r="AE127">
            <v>84</v>
          </cell>
          <cell r="AF127">
            <v>81</v>
          </cell>
          <cell r="AG127">
            <v>79</v>
          </cell>
          <cell r="AH127">
            <v>73</v>
          </cell>
          <cell r="AI127">
            <v>75</v>
          </cell>
          <cell r="AJ127">
            <v>2894</v>
          </cell>
          <cell r="AK127">
            <v>2850</v>
          </cell>
          <cell r="AL127">
            <v>2982</v>
          </cell>
          <cell r="AM127">
            <v>3104</v>
          </cell>
          <cell r="AN127">
            <v>3264</v>
          </cell>
          <cell r="AO127">
            <v>2837</v>
          </cell>
          <cell r="AP127">
            <v>2771</v>
          </cell>
          <cell r="AQ127">
            <v>163</v>
          </cell>
          <cell r="AR127">
            <v>202</v>
          </cell>
          <cell r="AS127">
            <v>115</v>
          </cell>
          <cell r="AT127">
            <v>100</v>
          </cell>
          <cell r="AU127">
            <v>56</v>
          </cell>
          <cell r="AV127">
            <v>70</v>
          </cell>
          <cell r="AW127">
            <v>67</v>
          </cell>
        </row>
        <row r="128">
          <cell r="B128">
            <v>555525</v>
          </cell>
          <cell r="C128" t="str">
            <v>Pšov (okres Karlovy Vary)</v>
          </cell>
          <cell r="D128" t="str">
            <v>Pšov (okres Karlovy Vary)</v>
          </cell>
          <cell r="E128">
            <v>603</v>
          </cell>
          <cell r="F128">
            <v>584</v>
          </cell>
          <cell r="G128">
            <v>604</v>
          </cell>
          <cell r="H128">
            <v>593</v>
          </cell>
          <cell r="I128">
            <v>587</v>
          </cell>
          <cell r="J128">
            <v>595</v>
          </cell>
          <cell r="K128">
            <v>609</v>
          </cell>
          <cell r="L128">
            <v>619</v>
          </cell>
          <cell r="M128">
            <v>619</v>
          </cell>
          <cell r="N128">
            <v>614</v>
          </cell>
          <cell r="O128">
            <v>617</v>
          </cell>
          <cell r="P128">
            <v>565</v>
          </cell>
          <cell r="Q128">
            <v>608</v>
          </cell>
          <cell r="R128">
            <v>607</v>
          </cell>
          <cell r="S128">
            <v>578</v>
          </cell>
          <cell r="T128">
            <v>579</v>
          </cell>
          <cell r="U128">
            <v>551</v>
          </cell>
          <cell r="V128">
            <v>562</v>
          </cell>
          <cell r="W128">
            <v>561</v>
          </cell>
          <cell r="X128">
            <v>567</v>
          </cell>
          <cell r="Y128">
            <v>584</v>
          </cell>
          <cell r="Z128">
            <v>590</v>
          </cell>
          <cell r="AA128">
            <v>603</v>
          </cell>
          <cell r="AB128">
            <v>613</v>
          </cell>
          <cell r="AC128">
            <v>616</v>
          </cell>
          <cell r="AD128">
            <v>607</v>
          </cell>
          <cell r="AE128">
            <v>613</v>
          </cell>
          <cell r="AF128">
            <v>626</v>
          </cell>
          <cell r="AG128">
            <v>609</v>
          </cell>
          <cell r="AH128">
            <v>607</v>
          </cell>
          <cell r="AI128">
            <v>613</v>
          </cell>
          <cell r="AJ128">
            <v>1903</v>
          </cell>
          <cell r="AK128">
            <v>2000</v>
          </cell>
          <cell r="AL128">
            <v>1874</v>
          </cell>
          <cell r="AM128">
            <v>1758</v>
          </cell>
          <cell r="AN128">
            <v>1853</v>
          </cell>
          <cell r="AO128">
            <v>1894</v>
          </cell>
          <cell r="AP128">
            <v>1866</v>
          </cell>
          <cell r="AQ128">
            <v>864</v>
          </cell>
          <cell r="AR128">
            <v>889</v>
          </cell>
          <cell r="AS128">
            <v>857</v>
          </cell>
          <cell r="AT128">
            <v>746</v>
          </cell>
          <cell r="AU128">
            <v>629</v>
          </cell>
          <cell r="AV128">
            <v>608</v>
          </cell>
          <cell r="AW128">
            <v>595</v>
          </cell>
        </row>
        <row r="129">
          <cell r="B129">
            <v>560600</v>
          </cell>
          <cell r="C129" t="str">
            <v>Rotava (okres Sokolov)</v>
          </cell>
          <cell r="D129" t="str">
            <v>Rotava (okres Sokolov)</v>
          </cell>
          <cell r="E129">
            <v>2902</v>
          </cell>
          <cell r="F129">
            <v>3006</v>
          </cell>
          <cell r="G129">
            <v>2798</v>
          </cell>
          <cell r="H129">
            <v>2844</v>
          </cell>
          <cell r="I129">
            <v>2999</v>
          </cell>
          <cell r="J129">
            <v>2809</v>
          </cell>
          <cell r="K129">
            <v>3553</v>
          </cell>
          <cell r="L129">
            <v>3541</v>
          </cell>
          <cell r="M129">
            <v>3524</v>
          </cell>
          <cell r="N129">
            <v>3473</v>
          </cell>
          <cell r="O129">
            <v>3476</v>
          </cell>
          <cell r="P129">
            <v>3008</v>
          </cell>
          <cell r="Q129">
            <v>3471</v>
          </cell>
          <cell r="R129">
            <v>3459</v>
          </cell>
          <cell r="S129">
            <v>3037</v>
          </cell>
          <cell r="T129">
            <v>3065</v>
          </cell>
          <cell r="U129">
            <v>3140</v>
          </cell>
          <cell r="V129">
            <v>3216</v>
          </cell>
          <cell r="W129">
            <v>3263</v>
          </cell>
          <cell r="X129">
            <v>3357</v>
          </cell>
          <cell r="Y129">
            <v>3465</v>
          </cell>
          <cell r="Z129">
            <v>3468</v>
          </cell>
          <cell r="AA129">
            <v>3463</v>
          </cell>
          <cell r="AB129">
            <v>3432</v>
          </cell>
          <cell r="AC129">
            <v>3387</v>
          </cell>
          <cell r="AD129">
            <v>3437</v>
          </cell>
          <cell r="AE129">
            <v>3431</v>
          </cell>
          <cell r="AF129">
            <v>3403</v>
          </cell>
          <cell r="AG129">
            <v>3428</v>
          </cell>
          <cell r="AH129">
            <v>3444</v>
          </cell>
          <cell r="AI129">
            <v>3537</v>
          </cell>
          <cell r="AJ129">
            <v>2248</v>
          </cell>
          <cell r="AK129">
            <v>2341</v>
          </cell>
          <cell r="AL129">
            <v>2572</v>
          </cell>
          <cell r="AM129">
            <v>3213</v>
          </cell>
          <cell r="AN129">
            <v>4439</v>
          </cell>
          <cell r="AO129">
            <v>4563</v>
          </cell>
          <cell r="AP129">
            <v>4695</v>
          </cell>
          <cell r="AQ129">
            <v>1477</v>
          </cell>
          <cell r="AR129">
            <v>1883</v>
          </cell>
          <cell r="AS129">
            <v>4110</v>
          </cell>
          <cell r="AT129">
            <v>3784</v>
          </cell>
          <cell r="AU129">
            <v>3433</v>
          </cell>
          <cell r="AV129">
            <v>2778</v>
          </cell>
          <cell r="AW129">
            <v>2753</v>
          </cell>
        </row>
        <row r="130">
          <cell r="B130">
            <v>560618</v>
          </cell>
          <cell r="C130" t="str">
            <v>Rovná (okres Sokolov)</v>
          </cell>
          <cell r="D130" t="str">
            <v>Rovná (okres Sokolov)</v>
          </cell>
          <cell r="E130">
            <v>312</v>
          </cell>
          <cell r="F130">
            <v>312</v>
          </cell>
          <cell r="G130">
            <v>347</v>
          </cell>
          <cell r="H130">
            <v>347</v>
          </cell>
          <cell r="I130">
            <v>318</v>
          </cell>
          <cell r="J130">
            <v>301</v>
          </cell>
          <cell r="K130">
            <v>661</v>
          </cell>
          <cell r="L130">
            <v>654</v>
          </cell>
          <cell r="M130">
            <v>619</v>
          </cell>
          <cell r="N130">
            <v>586</v>
          </cell>
          <cell r="O130">
            <v>590</v>
          </cell>
          <cell r="P130">
            <v>317</v>
          </cell>
          <cell r="Q130">
            <v>544</v>
          </cell>
          <cell r="R130">
            <v>558</v>
          </cell>
          <cell r="S130">
            <v>330</v>
          </cell>
          <cell r="T130">
            <v>353</v>
          </cell>
          <cell r="U130">
            <v>382</v>
          </cell>
          <cell r="V130">
            <v>421</v>
          </cell>
          <cell r="W130">
            <v>449</v>
          </cell>
          <cell r="X130">
            <v>467</v>
          </cell>
          <cell r="Y130">
            <v>571</v>
          </cell>
          <cell r="Z130">
            <v>572</v>
          </cell>
          <cell r="AA130">
            <v>599</v>
          </cell>
          <cell r="AB130">
            <v>602</v>
          </cell>
          <cell r="AC130">
            <v>609</v>
          </cell>
          <cell r="AD130">
            <v>622</v>
          </cell>
          <cell r="AE130">
            <v>612</v>
          </cell>
          <cell r="AF130">
            <v>619</v>
          </cell>
          <cell r="AG130">
            <v>614</v>
          </cell>
          <cell r="AH130">
            <v>597</v>
          </cell>
          <cell r="AI130">
            <v>674</v>
          </cell>
          <cell r="AJ130">
            <v>3250</v>
          </cell>
          <cell r="AK130">
            <v>3051</v>
          </cell>
          <cell r="AL130">
            <v>2816</v>
          </cell>
          <cell r="AM130">
            <v>2608</v>
          </cell>
          <cell r="AN130">
            <v>2329</v>
          </cell>
          <cell r="AO130">
            <v>2080</v>
          </cell>
          <cell r="AP130">
            <v>1943</v>
          </cell>
          <cell r="AQ130">
            <v>6</v>
          </cell>
          <cell r="AR130">
            <v>21</v>
          </cell>
          <cell r="AS130">
            <v>461</v>
          </cell>
          <cell r="AT130">
            <v>542</v>
          </cell>
          <cell r="AU130">
            <v>492</v>
          </cell>
          <cell r="AV130">
            <v>344</v>
          </cell>
          <cell r="AW130">
            <v>338</v>
          </cell>
        </row>
        <row r="131">
          <cell r="B131">
            <v>555533</v>
          </cell>
          <cell r="C131" t="str">
            <v>Sadov (okres Karlovy Vary)</v>
          </cell>
          <cell r="D131" t="str">
            <v>Sadov (okres Karlovy Vary)</v>
          </cell>
          <cell r="E131">
            <v>1299</v>
          </cell>
          <cell r="F131">
            <v>1273</v>
          </cell>
          <cell r="G131">
            <v>1291</v>
          </cell>
          <cell r="H131">
            <v>1270</v>
          </cell>
          <cell r="I131">
            <v>1269</v>
          </cell>
          <cell r="J131">
            <v>1265</v>
          </cell>
          <cell r="K131">
            <v>987</v>
          </cell>
          <cell r="L131">
            <v>972</v>
          </cell>
          <cell r="M131">
            <v>967</v>
          </cell>
          <cell r="N131">
            <v>957</v>
          </cell>
          <cell r="O131">
            <v>945</v>
          </cell>
          <cell r="P131">
            <v>1272</v>
          </cell>
          <cell r="Q131">
            <v>950</v>
          </cell>
          <cell r="R131">
            <v>947</v>
          </cell>
          <cell r="S131">
            <v>1266</v>
          </cell>
          <cell r="T131">
            <v>1270</v>
          </cell>
          <cell r="U131">
            <v>1263</v>
          </cell>
          <cell r="V131">
            <v>1280</v>
          </cell>
          <cell r="W131">
            <v>1253</v>
          </cell>
          <cell r="X131">
            <v>1235</v>
          </cell>
          <cell r="Y131">
            <v>1187</v>
          </cell>
          <cell r="Z131">
            <v>1181</v>
          </cell>
          <cell r="AA131">
            <v>1144</v>
          </cell>
          <cell r="AB131">
            <v>1112</v>
          </cell>
          <cell r="AC131">
            <v>1087</v>
          </cell>
          <cell r="AD131">
            <v>1064</v>
          </cell>
          <cell r="AE131">
            <v>1053</v>
          </cell>
          <cell r="AF131">
            <v>1016</v>
          </cell>
          <cell r="AG131">
            <v>1020</v>
          </cell>
          <cell r="AH131">
            <v>1016</v>
          </cell>
          <cell r="AI131">
            <v>1003</v>
          </cell>
          <cell r="AJ131">
            <v>819</v>
          </cell>
          <cell r="AK131">
            <v>1070</v>
          </cell>
          <cell r="AL131">
            <v>1382</v>
          </cell>
          <cell r="AM131">
            <v>1840</v>
          </cell>
          <cell r="AN131">
            <v>2185</v>
          </cell>
          <cell r="AO131">
            <v>1977</v>
          </cell>
          <cell r="AP131">
            <v>2529</v>
          </cell>
          <cell r="AQ131">
            <v>1357</v>
          </cell>
          <cell r="AR131">
            <v>1232</v>
          </cell>
          <cell r="AS131">
            <v>1066</v>
          </cell>
          <cell r="AT131">
            <v>944</v>
          </cell>
          <cell r="AU131">
            <v>907</v>
          </cell>
          <cell r="AV131">
            <v>1304</v>
          </cell>
          <cell r="AW131">
            <v>1298</v>
          </cell>
        </row>
        <row r="132">
          <cell r="B132">
            <v>554812</v>
          </cell>
          <cell r="C132" t="str">
            <v>Skalná (okres Cheb)</v>
          </cell>
          <cell r="D132" t="str">
            <v>Skalná (okres Cheb)</v>
          </cell>
          <cell r="E132">
            <v>2001</v>
          </cell>
          <cell r="F132">
            <v>1988</v>
          </cell>
          <cell r="G132">
            <v>1906</v>
          </cell>
          <cell r="H132">
            <v>1916</v>
          </cell>
          <cell r="I132">
            <v>1999</v>
          </cell>
          <cell r="J132">
            <v>1905</v>
          </cell>
          <cell r="K132">
            <v>1584</v>
          </cell>
          <cell r="L132">
            <v>1596</v>
          </cell>
          <cell r="M132">
            <v>1585</v>
          </cell>
          <cell r="N132">
            <v>1563</v>
          </cell>
          <cell r="O132">
            <v>1553</v>
          </cell>
          <cell r="P132">
            <v>1938</v>
          </cell>
          <cell r="Q132">
            <v>1561</v>
          </cell>
          <cell r="R132">
            <v>1558</v>
          </cell>
          <cell r="S132">
            <v>1944</v>
          </cell>
          <cell r="T132">
            <v>1924</v>
          </cell>
          <cell r="U132">
            <v>1896</v>
          </cell>
          <cell r="V132">
            <v>1888</v>
          </cell>
          <cell r="W132">
            <v>1887</v>
          </cell>
          <cell r="X132">
            <v>1884</v>
          </cell>
          <cell r="Y132">
            <v>1950</v>
          </cell>
          <cell r="Z132">
            <v>1942</v>
          </cell>
          <cell r="AA132">
            <v>1930</v>
          </cell>
          <cell r="AB132">
            <v>1942</v>
          </cell>
          <cell r="AC132">
            <v>1913</v>
          </cell>
          <cell r="AD132">
            <v>1847</v>
          </cell>
          <cell r="AE132">
            <v>1795</v>
          </cell>
          <cell r="AF132">
            <v>1766</v>
          </cell>
          <cell r="AG132">
            <v>1706</v>
          </cell>
          <cell r="AH132">
            <v>1689</v>
          </cell>
          <cell r="AI132">
            <v>1598</v>
          </cell>
          <cell r="AJ132">
            <v>4011</v>
          </cell>
          <cell r="AK132">
            <v>3787</v>
          </cell>
          <cell r="AL132">
            <v>3625</v>
          </cell>
          <cell r="AM132">
            <v>3483</v>
          </cell>
          <cell r="AN132">
            <v>3813</v>
          </cell>
          <cell r="AO132">
            <v>3384</v>
          </cell>
          <cell r="AP132">
            <v>3994</v>
          </cell>
          <cell r="AQ132">
            <v>1847</v>
          </cell>
          <cell r="AR132">
            <v>2043</v>
          </cell>
          <cell r="AS132">
            <v>1839</v>
          </cell>
          <cell r="AT132">
            <v>1708</v>
          </cell>
          <cell r="AU132">
            <v>1563</v>
          </cell>
          <cell r="AV132">
            <v>1892</v>
          </cell>
          <cell r="AW132">
            <v>1875</v>
          </cell>
        </row>
        <row r="133">
          <cell r="B133">
            <v>538027</v>
          </cell>
          <cell r="C133" t="str">
            <v>Smolné Pece (okres Karlovy Vary)</v>
          </cell>
          <cell r="D133" t="str">
            <v>Smolné Pece (okres Karlovy Vary)</v>
          </cell>
          <cell r="E133">
            <v>224</v>
          </cell>
          <cell r="F133">
            <v>217</v>
          </cell>
          <cell r="G133">
            <v>242</v>
          </cell>
          <cell r="H133">
            <v>236</v>
          </cell>
          <cell r="I133">
            <v>206</v>
          </cell>
          <cell r="J133">
            <v>223</v>
          </cell>
          <cell r="K133">
            <v>90</v>
          </cell>
          <cell r="L133">
            <v>82</v>
          </cell>
          <cell r="M133">
            <v>80</v>
          </cell>
          <cell r="N133">
            <v>76</v>
          </cell>
          <cell r="O133">
            <v>73</v>
          </cell>
          <cell r="P133">
            <v>194</v>
          </cell>
          <cell r="Q133">
            <v>69</v>
          </cell>
          <cell r="R133">
            <v>57</v>
          </cell>
          <cell r="S133">
            <v>183</v>
          </cell>
          <cell r="T133">
            <v>178</v>
          </cell>
          <cell r="U133">
            <v>163</v>
          </cell>
          <cell r="V133">
            <v>140</v>
          </cell>
          <cell r="W133">
            <v>136</v>
          </cell>
          <cell r="X133">
            <v>128</v>
          </cell>
          <cell r="Y133">
            <v>129</v>
          </cell>
          <cell r="Z133">
            <v>129</v>
          </cell>
          <cell r="AA133">
            <v>124</v>
          </cell>
          <cell r="AB133">
            <v>121</v>
          </cell>
          <cell r="AC133">
            <v>112</v>
          </cell>
          <cell r="AD133">
            <v>109</v>
          </cell>
          <cell r="AE133">
            <v>105</v>
          </cell>
          <cell r="AF133">
            <v>100</v>
          </cell>
          <cell r="AG133">
            <v>98</v>
          </cell>
          <cell r="AH133">
            <v>94</v>
          </cell>
          <cell r="AI133">
            <v>86</v>
          </cell>
          <cell r="AJ133"/>
          <cell r="AK133"/>
          <cell r="AL133">
            <v>185</v>
          </cell>
          <cell r="AM133">
            <v>247</v>
          </cell>
          <cell r="AN133">
            <v>280</v>
          </cell>
          <cell r="AO133"/>
          <cell r="AP133">
            <v>327</v>
          </cell>
          <cell r="AQ133"/>
          <cell r="AR133">
            <v>177</v>
          </cell>
          <cell r="AS133">
            <v>139</v>
          </cell>
          <cell r="AT133">
            <v>87</v>
          </cell>
          <cell r="AU133">
            <v>57</v>
          </cell>
          <cell r="AV133">
            <v>245</v>
          </cell>
          <cell r="AW133">
            <v>242</v>
          </cell>
        </row>
        <row r="134">
          <cell r="B134">
            <v>560286</v>
          </cell>
          <cell r="C134" t="str">
            <v>Sokolov (okres Sokolov)</v>
          </cell>
          <cell r="D134" t="str">
            <v>Sokolov (okres Sokolov)</v>
          </cell>
          <cell r="E134">
            <v>22924</v>
          </cell>
          <cell r="F134">
            <v>23033</v>
          </cell>
          <cell r="G134">
            <v>22155</v>
          </cell>
          <cell r="H134">
            <v>22227</v>
          </cell>
          <cell r="I134">
            <v>23241</v>
          </cell>
          <cell r="J134">
            <v>22097</v>
          </cell>
          <cell r="K134">
            <v>25632</v>
          </cell>
          <cell r="L134">
            <v>25796</v>
          </cell>
          <cell r="M134">
            <v>25861</v>
          </cell>
          <cell r="N134">
            <v>25939</v>
          </cell>
          <cell r="O134">
            <v>25904</v>
          </cell>
          <cell r="P134">
            <v>23438</v>
          </cell>
          <cell r="Q134">
            <v>25837</v>
          </cell>
          <cell r="R134">
            <v>25820</v>
          </cell>
          <cell r="S134">
            <v>23546</v>
          </cell>
          <cell r="T134">
            <v>23678</v>
          </cell>
          <cell r="U134">
            <v>23762</v>
          </cell>
          <cell r="V134">
            <v>23879</v>
          </cell>
          <cell r="W134">
            <v>23981</v>
          </cell>
          <cell r="X134">
            <v>24111</v>
          </cell>
          <cell r="Y134">
            <v>24402</v>
          </cell>
          <cell r="Z134">
            <v>24382</v>
          </cell>
          <cell r="AA134">
            <v>24467</v>
          </cell>
          <cell r="AB134">
            <v>24488</v>
          </cell>
          <cell r="AC134">
            <v>24456</v>
          </cell>
          <cell r="AD134">
            <v>24579</v>
          </cell>
          <cell r="AE134">
            <v>24724</v>
          </cell>
          <cell r="AF134">
            <v>24901</v>
          </cell>
          <cell r="AG134">
            <v>24999</v>
          </cell>
          <cell r="AH134">
            <v>24968</v>
          </cell>
          <cell r="AI134">
            <v>25565</v>
          </cell>
          <cell r="AJ134">
            <v>4370</v>
          </cell>
          <cell r="AK134">
            <v>5250</v>
          </cell>
          <cell r="AL134">
            <v>6530</v>
          </cell>
          <cell r="AM134">
            <v>8679</v>
          </cell>
          <cell r="AN134">
            <v>10126</v>
          </cell>
          <cell r="AO134">
            <v>11429</v>
          </cell>
          <cell r="AP134">
            <v>12647</v>
          </cell>
          <cell r="AQ134">
            <v>9777</v>
          </cell>
          <cell r="AR134">
            <v>15242</v>
          </cell>
          <cell r="AS134">
            <v>18256</v>
          </cell>
          <cell r="AT134">
            <v>24763</v>
          </cell>
          <cell r="AU134">
            <v>25210</v>
          </cell>
          <cell r="AV134">
            <v>22007</v>
          </cell>
          <cell r="AW134">
            <v>21908</v>
          </cell>
        </row>
        <row r="135">
          <cell r="B135">
            <v>555550</v>
          </cell>
          <cell r="C135" t="str">
            <v>Stanovice (okres Karlovy Vary)</v>
          </cell>
          <cell r="D135" t="str">
            <v>Stanovice (okres Karlovy Vary)</v>
          </cell>
          <cell r="E135">
            <v>639</v>
          </cell>
          <cell r="F135">
            <v>629</v>
          </cell>
          <cell r="G135">
            <v>638</v>
          </cell>
          <cell r="H135">
            <v>624</v>
          </cell>
          <cell r="I135">
            <v>630</v>
          </cell>
          <cell r="J135">
            <v>610</v>
          </cell>
          <cell r="K135">
            <v>472</v>
          </cell>
          <cell r="L135">
            <v>466</v>
          </cell>
          <cell r="M135">
            <v>467</v>
          </cell>
          <cell r="N135">
            <v>466</v>
          </cell>
          <cell r="O135">
            <v>465</v>
          </cell>
          <cell r="P135">
            <v>632</v>
          </cell>
          <cell r="Q135">
            <v>474</v>
          </cell>
          <cell r="R135">
            <v>466</v>
          </cell>
          <cell r="S135">
            <v>635</v>
          </cell>
          <cell r="T135">
            <v>621</v>
          </cell>
          <cell r="U135">
            <v>613</v>
          </cell>
          <cell r="V135">
            <v>596</v>
          </cell>
          <cell r="W135">
            <v>605</v>
          </cell>
          <cell r="X135">
            <v>606</v>
          </cell>
          <cell r="Y135">
            <v>551</v>
          </cell>
          <cell r="Z135">
            <v>546</v>
          </cell>
          <cell r="AA135">
            <v>537</v>
          </cell>
          <cell r="AB135">
            <v>524</v>
          </cell>
          <cell r="AC135">
            <v>518</v>
          </cell>
          <cell r="AD135">
            <v>496</v>
          </cell>
          <cell r="AE135">
            <v>486</v>
          </cell>
          <cell r="AF135">
            <v>495</v>
          </cell>
          <cell r="AG135">
            <v>493</v>
          </cell>
          <cell r="AH135">
            <v>494</v>
          </cell>
          <cell r="AI135">
            <v>487</v>
          </cell>
          <cell r="AJ135">
            <v>2603</v>
          </cell>
          <cell r="AK135">
            <v>2733</v>
          </cell>
          <cell r="AL135">
            <v>2682</v>
          </cell>
          <cell r="AM135">
            <v>2745</v>
          </cell>
          <cell r="AN135">
            <v>2581</v>
          </cell>
          <cell r="AO135">
            <v>2358</v>
          </cell>
          <cell r="AP135">
            <v>2368</v>
          </cell>
          <cell r="AQ135">
            <v>698</v>
          </cell>
          <cell r="AR135">
            <v>670</v>
          </cell>
          <cell r="AS135">
            <v>616</v>
          </cell>
          <cell r="AT135">
            <v>543</v>
          </cell>
          <cell r="AU135">
            <v>457</v>
          </cell>
          <cell r="AV135">
            <v>652</v>
          </cell>
          <cell r="AW135">
            <v>652</v>
          </cell>
        </row>
        <row r="136">
          <cell r="B136">
            <v>539112</v>
          </cell>
          <cell r="C136" t="str">
            <v>Stará Voda (okres Cheb)</v>
          </cell>
          <cell r="D136" t="str">
            <v>Stará Voda (okres Cheb)</v>
          </cell>
          <cell r="E136">
            <v>507</v>
          </cell>
          <cell r="F136">
            <v>517</v>
          </cell>
          <cell r="G136">
            <v>510</v>
          </cell>
          <cell r="H136">
            <v>501</v>
          </cell>
          <cell r="I136">
            <v>487</v>
          </cell>
          <cell r="J136">
            <v>478</v>
          </cell>
          <cell r="K136">
            <v>419</v>
          </cell>
          <cell r="L136">
            <v>416</v>
          </cell>
          <cell r="M136">
            <v>403</v>
          </cell>
          <cell r="N136">
            <v>395</v>
          </cell>
          <cell r="O136">
            <v>400</v>
          </cell>
          <cell r="P136">
            <v>476</v>
          </cell>
          <cell r="Q136">
            <v>405</v>
          </cell>
          <cell r="R136">
            <v>402</v>
          </cell>
          <cell r="S136">
            <v>465</v>
          </cell>
          <cell r="T136">
            <v>469</v>
          </cell>
          <cell r="U136">
            <v>463</v>
          </cell>
          <cell r="V136">
            <v>459</v>
          </cell>
          <cell r="W136">
            <v>452</v>
          </cell>
          <cell r="X136">
            <v>461</v>
          </cell>
          <cell r="Y136">
            <v>486</v>
          </cell>
          <cell r="Z136">
            <v>489</v>
          </cell>
          <cell r="AA136">
            <v>492</v>
          </cell>
          <cell r="AB136">
            <v>474</v>
          </cell>
          <cell r="AC136">
            <v>467</v>
          </cell>
          <cell r="AD136">
            <v>495</v>
          </cell>
          <cell r="AE136">
            <v>492</v>
          </cell>
          <cell r="AF136">
            <v>475</v>
          </cell>
          <cell r="AG136">
            <v>466</v>
          </cell>
          <cell r="AH136">
            <v>456</v>
          </cell>
          <cell r="AI136">
            <v>430</v>
          </cell>
          <cell r="AJ136">
            <v>2564</v>
          </cell>
          <cell r="AK136">
            <v>2683</v>
          </cell>
          <cell r="AL136">
            <v>2458</v>
          </cell>
          <cell r="AM136">
            <v>2404</v>
          </cell>
          <cell r="AN136">
            <v>2387</v>
          </cell>
          <cell r="AO136">
            <v>2382</v>
          </cell>
          <cell r="AP136">
            <v>2293</v>
          </cell>
          <cell r="AQ136">
            <v>671</v>
          </cell>
          <cell r="AR136">
            <v>637</v>
          </cell>
          <cell r="AS136">
            <v>504</v>
          </cell>
          <cell r="AT136">
            <v>397</v>
          </cell>
          <cell r="AU136">
            <v>350</v>
          </cell>
          <cell r="AV136">
            <v>505</v>
          </cell>
          <cell r="AW136">
            <v>494</v>
          </cell>
        </row>
        <row r="137">
          <cell r="B137">
            <v>560642</v>
          </cell>
          <cell r="C137" t="str">
            <v>Staré Sedlo (okres Sokolov)</v>
          </cell>
          <cell r="D137" t="str">
            <v>Staré Sedlo (okres Sokolov)</v>
          </cell>
          <cell r="E137">
            <v>832</v>
          </cell>
          <cell r="F137">
            <v>836</v>
          </cell>
          <cell r="G137">
            <v>809</v>
          </cell>
          <cell r="H137">
            <v>806</v>
          </cell>
          <cell r="I137">
            <v>828</v>
          </cell>
          <cell r="J137">
            <v>814</v>
          </cell>
          <cell r="K137">
            <v>711</v>
          </cell>
          <cell r="L137">
            <v>699</v>
          </cell>
          <cell r="M137">
            <v>701</v>
          </cell>
          <cell r="N137">
            <v>689</v>
          </cell>
          <cell r="O137">
            <v>683</v>
          </cell>
          <cell r="P137">
            <v>840</v>
          </cell>
          <cell r="Q137">
            <v>677</v>
          </cell>
          <cell r="R137">
            <v>652</v>
          </cell>
          <cell r="S137">
            <v>824</v>
          </cell>
          <cell r="T137">
            <v>838</v>
          </cell>
          <cell r="U137">
            <v>822</v>
          </cell>
          <cell r="V137">
            <v>815</v>
          </cell>
          <cell r="W137">
            <v>811</v>
          </cell>
          <cell r="X137">
            <v>819</v>
          </cell>
          <cell r="Y137">
            <v>809</v>
          </cell>
          <cell r="Z137">
            <v>836</v>
          </cell>
          <cell r="AA137">
            <v>848</v>
          </cell>
          <cell r="AB137">
            <v>797</v>
          </cell>
          <cell r="AC137">
            <v>809</v>
          </cell>
          <cell r="AD137">
            <v>775</v>
          </cell>
          <cell r="AE137">
            <v>772</v>
          </cell>
          <cell r="AF137">
            <v>760</v>
          </cell>
          <cell r="AG137">
            <v>745</v>
          </cell>
          <cell r="AH137">
            <v>741</v>
          </cell>
          <cell r="AI137">
            <v>704</v>
          </cell>
          <cell r="AJ137">
            <v>1141</v>
          </cell>
          <cell r="AK137">
            <v>1294</v>
          </cell>
          <cell r="AL137">
            <v>1414</v>
          </cell>
          <cell r="AM137">
            <v>1574</v>
          </cell>
          <cell r="AN137">
            <v>1800</v>
          </cell>
          <cell r="AO137">
            <v>1829</v>
          </cell>
          <cell r="AP137">
            <v>1909</v>
          </cell>
          <cell r="AQ137">
            <v>984</v>
          </cell>
          <cell r="AR137">
            <v>954</v>
          </cell>
          <cell r="AS137">
            <v>790</v>
          </cell>
          <cell r="AT137">
            <v>672</v>
          </cell>
          <cell r="AU137">
            <v>628</v>
          </cell>
          <cell r="AV137">
            <v>796</v>
          </cell>
          <cell r="AW137">
            <v>785</v>
          </cell>
        </row>
        <row r="138">
          <cell r="B138">
            <v>555584</v>
          </cell>
          <cell r="C138" t="str">
            <v>Stráž nad Ohří (okres Karlovy Vary)</v>
          </cell>
          <cell r="D138" t="str">
            <v>Stráž nad Ohří (okres Karlovy Vary)</v>
          </cell>
          <cell r="E138">
            <v>604</v>
          </cell>
          <cell r="F138">
            <v>600</v>
          </cell>
          <cell r="G138">
            <v>560</v>
          </cell>
          <cell r="H138">
            <v>569</v>
          </cell>
          <cell r="I138">
            <v>613</v>
          </cell>
          <cell r="J138">
            <v>577</v>
          </cell>
          <cell r="K138">
            <v>616</v>
          </cell>
          <cell r="L138">
            <v>616</v>
          </cell>
          <cell r="M138">
            <v>612</v>
          </cell>
          <cell r="N138">
            <v>595</v>
          </cell>
          <cell r="O138">
            <v>579</v>
          </cell>
          <cell r="P138">
            <v>605</v>
          </cell>
          <cell r="Q138">
            <v>601</v>
          </cell>
          <cell r="R138">
            <v>583</v>
          </cell>
          <cell r="S138">
            <v>589</v>
          </cell>
          <cell r="T138">
            <v>587</v>
          </cell>
          <cell r="U138">
            <v>583</v>
          </cell>
          <cell r="V138">
            <v>588</v>
          </cell>
          <cell r="W138">
            <v>601</v>
          </cell>
          <cell r="X138">
            <v>601</v>
          </cell>
          <cell r="Y138">
            <v>621</v>
          </cell>
          <cell r="Z138">
            <v>616</v>
          </cell>
          <cell r="AA138">
            <v>617</v>
          </cell>
          <cell r="AB138">
            <v>635</v>
          </cell>
          <cell r="AC138">
            <v>619</v>
          </cell>
          <cell r="AD138">
            <v>619</v>
          </cell>
          <cell r="AE138">
            <v>615</v>
          </cell>
          <cell r="AF138">
            <v>616</v>
          </cell>
          <cell r="AG138">
            <v>598</v>
          </cell>
          <cell r="AH138">
            <v>606</v>
          </cell>
          <cell r="AI138">
            <v>618</v>
          </cell>
          <cell r="AJ138">
            <v>1957</v>
          </cell>
          <cell r="AK138">
            <v>1926</v>
          </cell>
          <cell r="AL138">
            <v>2008</v>
          </cell>
          <cell r="AM138">
            <v>2098</v>
          </cell>
          <cell r="AN138">
            <v>2317</v>
          </cell>
          <cell r="AO138">
            <v>2194</v>
          </cell>
          <cell r="AP138">
            <v>2299</v>
          </cell>
          <cell r="AQ138">
            <v>1038</v>
          </cell>
          <cell r="AR138">
            <v>1087</v>
          </cell>
          <cell r="AS138">
            <v>860</v>
          </cell>
          <cell r="AT138">
            <v>740</v>
          </cell>
          <cell r="AU138">
            <v>589</v>
          </cell>
          <cell r="AV138">
            <v>570</v>
          </cell>
          <cell r="AW138">
            <v>565</v>
          </cell>
        </row>
        <row r="139">
          <cell r="B139">
            <v>555592</v>
          </cell>
          <cell r="C139" t="str">
            <v>Stružná (okres Karlovy Vary)</v>
          </cell>
          <cell r="D139" t="str">
            <v>Stružná (okres Karlovy Vary)</v>
          </cell>
          <cell r="E139">
            <v>570</v>
          </cell>
          <cell r="F139">
            <v>581</v>
          </cell>
          <cell r="G139">
            <v>626</v>
          </cell>
          <cell r="H139">
            <v>604</v>
          </cell>
          <cell r="I139">
            <v>573</v>
          </cell>
          <cell r="J139">
            <v>583</v>
          </cell>
          <cell r="K139">
            <v>466</v>
          </cell>
          <cell r="L139">
            <v>461</v>
          </cell>
          <cell r="M139">
            <v>459</v>
          </cell>
          <cell r="N139">
            <v>456</v>
          </cell>
          <cell r="O139">
            <v>472</v>
          </cell>
          <cell r="P139">
            <v>547</v>
          </cell>
          <cell r="Q139">
            <v>468</v>
          </cell>
          <cell r="R139">
            <v>479</v>
          </cell>
          <cell r="S139">
            <v>548</v>
          </cell>
          <cell r="T139">
            <v>548</v>
          </cell>
          <cell r="U139">
            <v>552</v>
          </cell>
          <cell r="V139">
            <v>537</v>
          </cell>
          <cell r="W139">
            <v>532</v>
          </cell>
          <cell r="X139">
            <v>522</v>
          </cell>
          <cell r="Y139">
            <v>529</v>
          </cell>
          <cell r="Z139">
            <v>519</v>
          </cell>
          <cell r="AA139">
            <v>534</v>
          </cell>
          <cell r="AB139">
            <v>532</v>
          </cell>
          <cell r="AC139">
            <v>528</v>
          </cell>
          <cell r="AD139">
            <v>523</v>
          </cell>
          <cell r="AE139">
            <v>523</v>
          </cell>
          <cell r="AF139">
            <v>511</v>
          </cell>
          <cell r="AG139">
            <v>512</v>
          </cell>
          <cell r="AH139">
            <v>511</v>
          </cell>
          <cell r="AI139">
            <v>478</v>
          </cell>
          <cell r="AJ139">
            <v>1471</v>
          </cell>
          <cell r="AK139">
            <v>1655</v>
          </cell>
          <cell r="AL139">
            <v>1615</v>
          </cell>
          <cell r="AM139">
            <v>1721</v>
          </cell>
          <cell r="AN139">
            <v>1743</v>
          </cell>
          <cell r="AO139">
            <v>1425</v>
          </cell>
          <cell r="AP139">
            <v>1355</v>
          </cell>
          <cell r="AQ139">
            <v>576</v>
          </cell>
          <cell r="AR139">
            <v>605</v>
          </cell>
          <cell r="AS139">
            <v>565</v>
          </cell>
          <cell r="AT139">
            <v>440</v>
          </cell>
          <cell r="AU139">
            <v>475</v>
          </cell>
          <cell r="AV139">
            <v>635</v>
          </cell>
          <cell r="AW139">
            <v>633</v>
          </cell>
        </row>
        <row r="140">
          <cell r="B140">
            <v>560651</v>
          </cell>
          <cell r="C140" t="str">
            <v>Stříbrná (okres Sokolov)</v>
          </cell>
          <cell r="D140" t="str">
            <v>Stříbrná (okres Sokolov)</v>
          </cell>
          <cell r="E140">
            <v>466</v>
          </cell>
          <cell r="F140">
            <v>471</v>
          </cell>
          <cell r="G140">
            <v>443</v>
          </cell>
          <cell r="H140">
            <v>445</v>
          </cell>
          <cell r="I140">
            <v>463</v>
          </cell>
          <cell r="J140">
            <v>446</v>
          </cell>
          <cell r="K140">
            <v>448</v>
          </cell>
          <cell r="L140">
            <v>442</v>
          </cell>
          <cell r="M140">
            <v>441</v>
          </cell>
          <cell r="N140">
            <v>410</v>
          </cell>
          <cell r="O140">
            <v>411</v>
          </cell>
          <cell r="P140">
            <v>451</v>
          </cell>
          <cell r="Q140">
            <v>406</v>
          </cell>
          <cell r="R140">
            <v>405</v>
          </cell>
          <cell r="S140">
            <v>443</v>
          </cell>
          <cell r="T140">
            <v>451</v>
          </cell>
          <cell r="U140">
            <v>443</v>
          </cell>
          <cell r="V140">
            <v>448</v>
          </cell>
          <cell r="W140">
            <v>446</v>
          </cell>
          <cell r="X140">
            <v>442</v>
          </cell>
          <cell r="Y140">
            <v>421</v>
          </cell>
          <cell r="Z140">
            <v>429</v>
          </cell>
          <cell r="AA140">
            <v>429</v>
          </cell>
          <cell r="AB140">
            <v>433</v>
          </cell>
          <cell r="AC140">
            <v>432</v>
          </cell>
          <cell r="AD140">
            <v>456</v>
          </cell>
          <cell r="AE140">
            <v>451</v>
          </cell>
          <cell r="AF140">
            <v>459</v>
          </cell>
          <cell r="AG140">
            <v>438</v>
          </cell>
          <cell r="AH140">
            <v>434</v>
          </cell>
          <cell r="AI140">
            <v>440</v>
          </cell>
          <cell r="AJ140">
            <v>2764</v>
          </cell>
          <cell r="AK140">
            <v>3218</v>
          </cell>
          <cell r="AL140">
            <v>3204</v>
          </cell>
          <cell r="AM140">
            <v>3971</v>
          </cell>
          <cell r="AN140">
            <v>4868</v>
          </cell>
          <cell r="AO140">
            <v>4279</v>
          </cell>
          <cell r="AP140">
            <v>4526</v>
          </cell>
          <cell r="AQ140">
            <v>762</v>
          </cell>
          <cell r="AR140">
            <v>911</v>
          </cell>
          <cell r="AS140">
            <v>655</v>
          </cell>
          <cell r="AT140">
            <v>523</v>
          </cell>
          <cell r="AU140">
            <v>401</v>
          </cell>
          <cell r="AV140">
            <v>441</v>
          </cell>
          <cell r="AW140">
            <v>449</v>
          </cell>
        </row>
        <row r="141">
          <cell r="B141">
            <v>538434</v>
          </cell>
          <cell r="C141" t="str">
            <v>Svatava (okres Sokolov)</v>
          </cell>
          <cell r="D141" t="str">
            <v>Svatava (okres Sokolov)</v>
          </cell>
          <cell r="E141">
            <v>1657</v>
          </cell>
          <cell r="F141">
            <v>1689</v>
          </cell>
          <cell r="G141">
            <v>1659</v>
          </cell>
          <cell r="H141">
            <v>1644</v>
          </cell>
          <cell r="I141">
            <v>1663</v>
          </cell>
          <cell r="J141">
            <v>1617</v>
          </cell>
          <cell r="K141">
            <v>1415</v>
          </cell>
          <cell r="L141">
            <v>1384</v>
          </cell>
          <cell r="M141">
            <v>1344</v>
          </cell>
          <cell r="N141">
            <v>1353</v>
          </cell>
          <cell r="O141">
            <v>1396</v>
          </cell>
          <cell r="P141">
            <v>1662</v>
          </cell>
          <cell r="Q141">
            <v>1407</v>
          </cell>
          <cell r="R141">
            <v>1385</v>
          </cell>
          <cell r="S141">
            <v>1651</v>
          </cell>
          <cell r="T141">
            <v>1649</v>
          </cell>
          <cell r="U141">
            <v>1663</v>
          </cell>
          <cell r="V141">
            <v>1678</v>
          </cell>
          <cell r="W141">
            <v>1691</v>
          </cell>
          <cell r="X141">
            <v>1673</v>
          </cell>
          <cell r="Y141">
            <v>1628</v>
          </cell>
          <cell r="Z141">
            <v>1602</v>
          </cell>
          <cell r="AA141">
            <v>1603</v>
          </cell>
          <cell r="AB141">
            <v>1660</v>
          </cell>
          <cell r="AC141">
            <v>1643</v>
          </cell>
          <cell r="AD141">
            <v>1619</v>
          </cell>
          <cell r="AE141">
            <v>1599</v>
          </cell>
          <cell r="AF141">
            <v>1577</v>
          </cell>
          <cell r="AG141">
            <v>1586</v>
          </cell>
          <cell r="AH141">
            <v>1572</v>
          </cell>
          <cell r="AI141">
            <v>1428</v>
          </cell>
          <cell r="AJ141">
            <v>1038</v>
          </cell>
          <cell r="AK141">
            <v>1663</v>
          </cell>
          <cell r="AL141">
            <v>2503</v>
          </cell>
          <cell r="AM141">
            <v>4410</v>
          </cell>
          <cell r="AN141">
            <v>5269</v>
          </cell>
          <cell r="AO141">
            <v>5528</v>
          </cell>
          <cell r="AP141">
            <v>5879</v>
          </cell>
          <cell r="AQ141">
            <v>3793</v>
          </cell>
          <cell r="AR141">
            <v>2943</v>
          </cell>
          <cell r="AS141">
            <v>2083</v>
          </cell>
          <cell r="AT141">
            <v>1972</v>
          </cell>
          <cell r="AU141">
            <v>1464</v>
          </cell>
          <cell r="AV141">
            <v>1619</v>
          </cell>
          <cell r="AW141">
            <v>1593</v>
          </cell>
        </row>
        <row r="142">
          <cell r="B142">
            <v>538396</v>
          </cell>
          <cell r="C142" t="str">
            <v>Šabina (okres Sokolov)</v>
          </cell>
          <cell r="D142" t="str">
            <v>Šabina (okres Sokolov)</v>
          </cell>
          <cell r="E142">
            <v>328</v>
          </cell>
          <cell r="F142">
            <v>316</v>
          </cell>
          <cell r="G142">
            <v>394</v>
          </cell>
          <cell r="H142">
            <v>360</v>
          </cell>
          <cell r="I142">
            <v>317</v>
          </cell>
          <cell r="J142">
            <v>345</v>
          </cell>
          <cell r="K142">
            <v>296</v>
          </cell>
          <cell r="L142">
            <v>280</v>
          </cell>
          <cell r="M142">
            <v>283</v>
          </cell>
          <cell r="N142">
            <v>277</v>
          </cell>
          <cell r="O142">
            <v>281</v>
          </cell>
          <cell r="P142">
            <v>297</v>
          </cell>
          <cell r="Q142">
            <v>280</v>
          </cell>
          <cell r="R142">
            <v>270</v>
          </cell>
          <cell r="S142">
            <v>303</v>
          </cell>
          <cell r="T142">
            <v>298</v>
          </cell>
          <cell r="U142">
            <v>302</v>
          </cell>
          <cell r="V142">
            <v>310</v>
          </cell>
          <cell r="W142">
            <v>309</v>
          </cell>
          <cell r="X142">
            <v>316</v>
          </cell>
          <cell r="Y142">
            <v>313</v>
          </cell>
          <cell r="Z142">
            <v>313</v>
          </cell>
          <cell r="AA142">
            <v>302</v>
          </cell>
          <cell r="AB142">
            <v>296</v>
          </cell>
          <cell r="AC142">
            <v>284</v>
          </cell>
          <cell r="AD142">
            <v>272</v>
          </cell>
          <cell r="AE142">
            <v>281</v>
          </cell>
          <cell r="AF142">
            <v>271</v>
          </cell>
          <cell r="AG142">
            <v>272</v>
          </cell>
          <cell r="AH142">
            <v>279</v>
          </cell>
          <cell r="AI142">
            <v>292</v>
          </cell>
          <cell r="AJ142">
            <v>417</v>
          </cell>
          <cell r="AK142">
            <v>429</v>
          </cell>
          <cell r="AL142">
            <v>423</v>
          </cell>
          <cell r="AM142">
            <v>519</v>
          </cell>
          <cell r="AN142">
            <v>613</v>
          </cell>
          <cell r="AO142">
            <v>589</v>
          </cell>
          <cell r="AP142">
            <v>633</v>
          </cell>
          <cell r="AQ142">
            <v>325</v>
          </cell>
          <cell r="AR142">
            <v>296</v>
          </cell>
          <cell r="AS142">
            <v>256</v>
          </cell>
          <cell r="AT142">
            <v>249</v>
          </cell>
          <cell r="AU142">
            <v>251</v>
          </cell>
          <cell r="AV142">
            <v>407</v>
          </cell>
          <cell r="AW142">
            <v>394</v>
          </cell>
        </row>
        <row r="143">
          <cell r="B143">
            <v>555614</v>
          </cell>
          <cell r="C143" t="str">
            <v>Šemnice (okres Karlovy Vary)</v>
          </cell>
          <cell r="D143" t="str">
            <v>Šemnice (okres Karlovy Vary)</v>
          </cell>
          <cell r="E143">
            <v>667</v>
          </cell>
          <cell r="F143">
            <v>666</v>
          </cell>
          <cell r="G143">
            <v>685</v>
          </cell>
          <cell r="H143">
            <v>689</v>
          </cell>
          <cell r="I143">
            <v>673</v>
          </cell>
          <cell r="J143">
            <v>659</v>
          </cell>
          <cell r="K143">
            <v>444</v>
          </cell>
          <cell r="L143">
            <v>451</v>
          </cell>
          <cell r="M143">
            <v>447</v>
          </cell>
          <cell r="N143">
            <v>443</v>
          </cell>
          <cell r="O143">
            <v>440</v>
          </cell>
          <cell r="P143">
            <v>673</v>
          </cell>
          <cell r="Q143">
            <v>436</v>
          </cell>
          <cell r="R143">
            <v>430</v>
          </cell>
          <cell r="S143">
            <v>670</v>
          </cell>
          <cell r="T143">
            <v>643</v>
          </cell>
          <cell r="U143">
            <v>636</v>
          </cell>
          <cell r="V143">
            <v>597</v>
          </cell>
          <cell r="W143">
            <v>598</v>
          </cell>
          <cell r="X143">
            <v>596</v>
          </cell>
          <cell r="Y143">
            <v>594</v>
          </cell>
          <cell r="Z143">
            <v>583</v>
          </cell>
          <cell r="AA143">
            <v>569</v>
          </cell>
          <cell r="AB143">
            <v>542</v>
          </cell>
          <cell r="AC143">
            <v>521</v>
          </cell>
          <cell r="AD143">
            <v>516</v>
          </cell>
          <cell r="AE143">
            <v>508</v>
          </cell>
          <cell r="AF143">
            <v>513</v>
          </cell>
          <cell r="AG143">
            <v>515</v>
          </cell>
          <cell r="AH143">
            <v>496</v>
          </cell>
          <cell r="AI143">
            <v>458</v>
          </cell>
          <cell r="AJ143">
            <v>829</v>
          </cell>
          <cell r="AK143">
            <v>900</v>
          </cell>
          <cell r="AL143">
            <v>857</v>
          </cell>
          <cell r="AM143">
            <v>1008</v>
          </cell>
          <cell r="AN143">
            <v>1110</v>
          </cell>
          <cell r="AO143">
            <v>959</v>
          </cell>
          <cell r="AP143">
            <v>1012</v>
          </cell>
          <cell r="AQ143">
            <v>355</v>
          </cell>
          <cell r="AR143">
            <v>411</v>
          </cell>
          <cell r="AS143">
            <v>398</v>
          </cell>
          <cell r="AT143">
            <v>425</v>
          </cell>
          <cell r="AU143">
            <v>409</v>
          </cell>
          <cell r="AV143">
            <v>662</v>
          </cell>
          <cell r="AW143">
            <v>659</v>
          </cell>
        </row>
        <row r="144">
          <cell r="B144">
            <v>560677</v>
          </cell>
          <cell r="C144" t="str">
            <v>Šindelová (okres Sokolov)</v>
          </cell>
          <cell r="D144" t="str">
            <v>Šindelová (okres Sokolov)</v>
          </cell>
          <cell r="E144">
            <v>310</v>
          </cell>
          <cell r="F144">
            <v>303</v>
          </cell>
          <cell r="G144">
            <v>302</v>
          </cell>
          <cell r="H144">
            <v>311</v>
          </cell>
          <cell r="I144">
            <v>302</v>
          </cell>
          <cell r="J144">
            <v>308</v>
          </cell>
          <cell r="K144">
            <v>257</v>
          </cell>
          <cell r="L144">
            <v>251</v>
          </cell>
          <cell r="M144">
            <v>248</v>
          </cell>
          <cell r="N144">
            <v>253</v>
          </cell>
          <cell r="O144">
            <v>258</v>
          </cell>
          <cell r="P144">
            <v>302</v>
          </cell>
          <cell r="Q144">
            <v>258</v>
          </cell>
          <cell r="R144">
            <v>241</v>
          </cell>
          <cell r="S144">
            <v>305</v>
          </cell>
          <cell r="T144">
            <v>294</v>
          </cell>
          <cell r="U144">
            <v>292</v>
          </cell>
          <cell r="V144">
            <v>292</v>
          </cell>
          <cell r="W144">
            <v>285</v>
          </cell>
          <cell r="X144">
            <v>281</v>
          </cell>
          <cell r="Y144">
            <v>277</v>
          </cell>
          <cell r="Z144">
            <v>269</v>
          </cell>
          <cell r="AA144">
            <v>261</v>
          </cell>
          <cell r="AB144">
            <v>262</v>
          </cell>
          <cell r="AC144">
            <v>265</v>
          </cell>
          <cell r="AD144">
            <v>261</v>
          </cell>
          <cell r="AE144">
            <v>264</v>
          </cell>
          <cell r="AF144">
            <v>266</v>
          </cell>
          <cell r="AG144">
            <v>268</v>
          </cell>
          <cell r="AH144">
            <v>260</v>
          </cell>
          <cell r="AI144">
            <v>246</v>
          </cell>
          <cell r="AJ144">
            <v>3739</v>
          </cell>
          <cell r="AK144">
            <v>3580</v>
          </cell>
          <cell r="AL144">
            <v>3444</v>
          </cell>
          <cell r="AM144">
            <v>3486</v>
          </cell>
          <cell r="AN144">
            <v>3646</v>
          </cell>
          <cell r="AO144">
            <v>3514</v>
          </cell>
          <cell r="AP144">
            <v>3509</v>
          </cell>
          <cell r="AQ144">
            <v>499</v>
          </cell>
          <cell r="AR144">
            <v>500</v>
          </cell>
          <cell r="AS144">
            <v>367</v>
          </cell>
          <cell r="AT144">
            <v>249</v>
          </cell>
          <cell r="AU144">
            <v>223</v>
          </cell>
          <cell r="AV144">
            <v>296</v>
          </cell>
          <cell r="AW144">
            <v>296</v>
          </cell>
        </row>
        <row r="145">
          <cell r="B145">
            <v>555622</v>
          </cell>
          <cell r="C145" t="str">
            <v>Štědrá (okres Karlovy Vary)</v>
          </cell>
          <cell r="D145" t="str">
            <v>Štědrá (okres Karlovy Vary)</v>
          </cell>
          <cell r="E145">
            <v>524</v>
          </cell>
          <cell r="F145">
            <v>537</v>
          </cell>
          <cell r="G145">
            <v>522</v>
          </cell>
          <cell r="H145">
            <v>526</v>
          </cell>
          <cell r="I145">
            <v>550</v>
          </cell>
          <cell r="J145">
            <v>525</v>
          </cell>
          <cell r="K145">
            <v>553</v>
          </cell>
          <cell r="L145">
            <v>565</v>
          </cell>
          <cell r="M145">
            <v>575</v>
          </cell>
          <cell r="N145">
            <v>574</v>
          </cell>
          <cell r="O145">
            <v>581</v>
          </cell>
          <cell r="P145">
            <v>565</v>
          </cell>
          <cell r="Q145">
            <v>593</v>
          </cell>
          <cell r="R145">
            <v>599</v>
          </cell>
          <cell r="S145">
            <v>565</v>
          </cell>
          <cell r="T145">
            <v>559</v>
          </cell>
          <cell r="U145">
            <v>569</v>
          </cell>
          <cell r="V145">
            <v>560</v>
          </cell>
          <cell r="W145">
            <v>565</v>
          </cell>
          <cell r="X145">
            <v>561</v>
          </cell>
          <cell r="Y145">
            <v>562</v>
          </cell>
          <cell r="Z145">
            <v>551</v>
          </cell>
          <cell r="AA145">
            <v>548</v>
          </cell>
          <cell r="AB145">
            <v>545</v>
          </cell>
          <cell r="AC145">
            <v>553</v>
          </cell>
          <cell r="AD145">
            <v>563</v>
          </cell>
          <cell r="AE145">
            <v>562</v>
          </cell>
          <cell r="AF145">
            <v>551</v>
          </cell>
          <cell r="AG145">
            <v>564</v>
          </cell>
          <cell r="AH145">
            <v>564</v>
          </cell>
          <cell r="AI145">
            <v>559</v>
          </cell>
          <cell r="AJ145">
            <v>1725</v>
          </cell>
          <cell r="AK145">
            <v>1630</v>
          </cell>
          <cell r="AL145">
            <v>1666</v>
          </cell>
          <cell r="AM145">
            <v>1648</v>
          </cell>
          <cell r="AN145">
            <v>1658</v>
          </cell>
          <cell r="AO145">
            <v>1713</v>
          </cell>
          <cell r="AP145">
            <v>1675</v>
          </cell>
          <cell r="AQ145">
            <v>887</v>
          </cell>
          <cell r="AR145">
            <v>875</v>
          </cell>
          <cell r="AS145">
            <v>769</v>
          </cell>
          <cell r="AT145">
            <v>675</v>
          </cell>
          <cell r="AU145">
            <v>604</v>
          </cell>
          <cell r="AV145">
            <v>525</v>
          </cell>
          <cell r="AW145">
            <v>543</v>
          </cell>
        </row>
        <row r="146">
          <cell r="B146">
            <v>538663</v>
          </cell>
          <cell r="C146" t="str">
            <v>Tatrovice (okres Sokolov)</v>
          </cell>
          <cell r="D146" t="str">
            <v>Tatrovice (okres Sokolov)</v>
          </cell>
          <cell r="E146">
            <v>180</v>
          </cell>
          <cell r="F146">
            <v>180</v>
          </cell>
          <cell r="G146">
            <v>164</v>
          </cell>
          <cell r="H146">
            <v>171</v>
          </cell>
          <cell r="I146">
            <v>182</v>
          </cell>
          <cell r="J146">
            <v>170</v>
          </cell>
          <cell r="K146">
            <v>133</v>
          </cell>
          <cell r="L146">
            <v>136</v>
          </cell>
          <cell r="M146">
            <v>134</v>
          </cell>
          <cell r="N146">
            <v>129</v>
          </cell>
          <cell r="O146">
            <v>124</v>
          </cell>
          <cell r="P146">
            <v>187</v>
          </cell>
          <cell r="Q146">
            <v>126</v>
          </cell>
          <cell r="R146">
            <v>123</v>
          </cell>
          <cell r="S146">
            <v>187</v>
          </cell>
          <cell r="T146">
            <v>183</v>
          </cell>
          <cell r="U146">
            <v>178</v>
          </cell>
          <cell r="V146">
            <v>178</v>
          </cell>
          <cell r="W146">
            <v>171</v>
          </cell>
          <cell r="X146">
            <v>169</v>
          </cell>
          <cell r="Y146">
            <v>174</v>
          </cell>
          <cell r="Z146">
            <v>170</v>
          </cell>
          <cell r="AA146">
            <v>167</v>
          </cell>
          <cell r="AB146">
            <v>157</v>
          </cell>
          <cell r="AC146">
            <v>160</v>
          </cell>
          <cell r="AD146">
            <v>156</v>
          </cell>
          <cell r="AE146">
            <v>148</v>
          </cell>
          <cell r="AF146">
            <v>146</v>
          </cell>
          <cell r="AG146">
            <v>143</v>
          </cell>
          <cell r="AH146">
            <v>134</v>
          </cell>
          <cell r="AI146">
            <v>136</v>
          </cell>
          <cell r="AJ146">
            <v>588</v>
          </cell>
          <cell r="AK146">
            <v>581</v>
          </cell>
          <cell r="AL146">
            <v>681</v>
          </cell>
          <cell r="AM146">
            <v>694</v>
          </cell>
          <cell r="AN146">
            <v>718</v>
          </cell>
          <cell r="AO146">
            <v>697</v>
          </cell>
          <cell r="AP146">
            <v>745</v>
          </cell>
          <cell r="AQ146">
            <v>153</v>
          </cell>
          <cell r="AR146">
            <v>173</v>
          </cell>
          <cell r="AS146">
            <v>140</v>
          </cell>
          <cell r="AT146">
            <v>131</v>
          </cell>
          <cell r="AU146">
            <v>112</v>
          </cell>
          <cell r="AV146">
            <v>162</v>
          </cell>
          <cell r="AW146">
            <v>166</v>
          </cell>
        </row>
        <row r="147">
          <cell r="B147">
            <v>555631</v>
          </cell>
          <cell r="C147" t="str">
            <v>Teplá (okres Cheb)</v>
          </cell>
          <cell r="D147" t="str">
            <v>Teplá (okres Cheb)</v>
          </cell>
          <cell r="E147">
            <v>2961</v>
          </cell>
          <cell r="F147">
            <v>2954</v>
          </cell>
          <cell r="G147">
            <v>2906</v>
          </cell>
          <cell r="H147">
            <v>2926</v>
          </cell>
          <cell r="I147">
            <v>2946</v>
          </cell>
          <cell r="J147">
            <v>2909</v>
          </cell>
          <cell r="K147">
            <v>3133</v>
          </cell>
          <cell r="L147">
            <v>3090</v>
          </cell>
          <cell r="M147">
            <v>3106</v>
          </cell>
          <cell r="N147">
            <v>3089</v>
          </cell>
          <cell r="O147">
            <v>3068</v>
          </cell>
          <cell r="P147">
            <v>2941</v>
          </cell>
          <cell r="Q147">
            <v>3061</v>
          </cell>
          <cell r="R147">
            <v>3028</v>
          </cell>
          <cell r="S147">
            <v>2961</v>
          </cell>
          <cell r="T147">
            <v>2962</v>
          </cell>
          <cell r="U147">
            <v>3020</v>
          </cell>
          <cell r="V147">
            <v>3012</v>
          </cell>
          <cell r="W147">
            <v>3052</v>
          </cell>
          <cell r="X147">
            <v>3069</v>
          </cell>
          <cell r="Y147">
            <v>3113</v>
          </cell>
          <cell r="Z147">
            <v>3087</v>
          </cell>
          <cell r="AA147">
            <v>3086</v>
          </cell>
          <cell r="AB147">
            <v>3065</v>
          </cell>
          <cell r="AC147">
            <v>3043</v>
          </cell>
          <cell r="AD147">
            <v>2995</v>
          </cell>
          <cell r="AE147">
            <v>3005</v>
          </cell>
          <cell r="AF147">
            <v>3034</v>
          </cell>
          <cell r="AG147">
            <v>3061</v>
          </cell>
          <cell r="AH147">
            <v>3079</v>
          </cell>
          <cell r="AI147">
            <v>3107</v>
          </cell>
          <cell r="AJ147">
            <v>6996</v>
          </cell>
          <cell r="AK147">
            <v>7458</v>
          </cell>
          <cell r="AL147">
            <v>7400</v>
          </cell>
          <cell r="AM147">
            <v>7426</v>
          </cell>
          <cell r="AN147">
            <v>7379</v>
          </cell>
          <cell r="AO147">
            <v>7017</v>
          </cell>
          <cell r="AP147">
            <v>6807</v>
          </cell>
          <cell r="AQ147">
            <v>2843</v>
          </cell>
          <cell r="AR147">
            <v>3444</v>
          </cell>
          <cell r="AS147">
            <v>3318</v>
          </cell>
          <cell r="AT147">
            <v>3115</v>
          </cell>
          <cell r="AU147">
            <v>2924</v>
          </cell>
          <cell r="AV147">
            <v>2903</v>
          </cell>
          <cell r="AW147">
            <v>2909</v>
          </cell>
        </row>
        <row r="148">
          <cell r="B148">
            <v>537845</v>
          </cell>
          <cell r="C148" t="str">
            <v>Teplička (okres Karlovy Vary)</v>
          </cell>
          <cell r="D148" t="str">
            <v>Teplička (okres Karlovy Vary)</v>
          </cell>
          <cell r="E148">
            <v>124</v>
          </cell>
          <cell r="F148">
            <v>123</v>
          </cell>
          <cell r="G148">
            <v>103</v>
          </cell>
          <cell r="H148">
            <v>106</v>
          </cell>
          <cell r="I148">
            <v>119</v>
          </cell>
          <cell r="J148">
            <v>108</v>
          </cell>
          <cell r="K148">
            <v>75</v>
          </cell>
          <cell r="L148">
            <v>75</v>
          </cell>
          <cell r="M148">
            <v>75</v>
          </cell>
          <cell r="N148">
            <v>76</v>
          </cell>
          <cell r="O148">
            <v>77</v>
          </cell>
          <cell r="P148">
            <v>117</v>
          </cell>
          <cell r="Q148">
            <v>76</v>
          </cell>
          <cell r="R148">
            <v>74</v>
          </cell>
          <cell r="S148">
            <v>125</v>
          </cell>
          <cell r="T148">
            <v>124</v>
          </cell>
          <cell r="U148">
            <v>117</v>
          </cell>
          <cell r="V148">
            <v>112</v>
          </cell>
          <cell r="W148">
            <v>111</v>
          </cell>
          <cell r="X148">
            <v>105</v>
          </cell>
          <cell r="Y148">
            <v>95</v>
          </cell>
          <cell r="Z148">
            <v>97</v>
          </cell>
          <cell r="AA148">
            <v>95</v>
          </cell>
          <cell r="AB148">
            <v>85</v>
          </cell>
          <cell r="AC148">
            <v>84</v>
          </cell>
          <cell r="AD148">
            <v>83</v>
          </cell>
          <cell r="AE148">
            <v>82</v>
          </cell>
          <cell r="AF148">
            <v>81</v>
          </cell>
          <cell r="AG148">
            <v>77</v>
          </cell>
          <cell r="AH148">
            <v>75</v>
          </cell>
          <cell r="AI148">
            <v>81</v>
          </cell>
          <cell r="AJ148">
            <v>277</v>
          </cell>
          <cell r="AK148">
            <v>315</v>
          </cell>
          <cell r="AL148">
            <v>324</v>
          </cell>
          <cell r="AM148">
            <v>386</v>
          </cell>
          <cell r="AN148">
            <v>384</v>
          </cell>
          <cell r="AO148">
            <v>383</v>
          </cell>
          <cell r="AP148">
            <v>408</v>
          </cell>
          <cell r="AQ148">
            <v>148</v>
          </cell>
          <cell r="AR148">
            <v>151</v>
          </cell>
          <cell r="AS148">
            <v>107</v>
          </cell>
          <cell r="AT148">
            <v>81</v>
          </cell>
          <cell r="AU148">
            <v>73</v>
          </cell>
          <cell r="AV148">
            <v>102</v>
          </cell>
          <cell r="AW148">
            <v>103</v>
          </cell>
        </row>
        <row r="149">
          <cell r="B149">
            <v>579360</v>
          </cell>
          <cell r="C149" t="str">
            <v>Těšovice (okres Sokolov)</v>
          </cell>
          <cell r="D149" t="str">
            <v>Těšovice (okres Sokolov)</v>
          </cell>
          <cell r="E149">
            <v>258</v>
          </cell>
          <cell r="F149">
            <v>263</v>
          </cell>
          <cell r="G149">
            <v>257</v>
          </cell>
          <cell r="H149">
            <v>256</v>
          </cell>
          <cell r="I149">
            <v>249</v>
          </cell>
          <cell r="J149">
            <v>252</v>
          </cell>
          <cell r="K149">
            <v>176</v>
          </cell>
          <cell r="L149">
            <v>179</v>
          </cell>
          <cell r="M149">
            <v>178</v>
          </cell>
          <cell r="N149">
            <v>175</v>
          </cell>
          <cell r="O149">
            <v>182</v>
          </cell>
          <cell r="P149">
            <v>240</v>
          </cell>
          <cell r="Q149">
            <v>182</v>
          </cell>
          <cell r="R149">
            <v>179</v>
          </cell>
          <cell r="S149">
            <v>221</v>
          </cell>
          <cell r="T149">
            <v>216</v>
          </cell>
          <cell r="U149">
            <v>206</v>
          </cell>
          <cell r="V149">
            <v>189</v>
          </cell>
          <cell r="W149">
            <v>177</v>
          </cell>
          <cell r="X149">
            <v>176</v>
          </cell>
          <cell r="Y149">
            <v>159</v>
          </cell>
          <cell r="Z149">
            <v>155</v>
          </cell>
          <cell r="AA149">
            <v>155</v>
          </cell>
          <cell r="AB149">
            <v>145</v>
          </cell>
          <cell r="AC149">
            <v>144</v>
          </cell>
          <cell r="AD149">
            <v>145</v>
          </cell>
          <cell r="AE149">
            <v>135</v>
          </cell>
          <cell r="AF149">
            <v>135</v>
          </cell>
          <cell r="AG149">
            <v>144</v>
          </cell>
          <cell r="AH149">
            <v>140</v>
          </cell>
          <cell r="AI149">
            <v>175</v>
          </cell>
          <cell r="AJ149">
            <v>90</v>
          </cell>
          <cell r="AK149">
            <v>123</v>
          </cell>
          <cell r="AL149">
            <v>98</v>
          </cell>
          <cell r="AM149">
            <v>116</v>
          </cell>
          <cell r="AN149">
            <v>125</v>
          </cell>
          <cell r="AO149">
            <v>220</v>
          </cell>
          <cell r="AP149">
            <v>538</v>
          </cell>
          <cell r="AQ149">
            <v>367</v>
          </cell>
          <cell r="AR149">
            <v>325</v>
          </cell>
          <cell r="AS149">
            <v>265</v>
          </cell>
          <cell r="AT149">
            <v>303</v>
          </cell>
          <cell r="AU149">
            <v>190</v>
          </cell>
          <cell r="AV149">
            <v>269</v>
          </cell>
          <cell r="AW149">
            <v>265</v>
          </cell>
        </row>
        <row r="150">
          <cell r="B150">
            <v>555657</v>
          </cell>
          <cell r="C150" t="str">
            <v>Toužim (okres Karlovy Vary)</v>
          </cell>
          <cell r="D150" t="str">
            <v>Toužim (okres Karlovy Vary)</v>
          </cell>
          <cell r="E150">
            <v>3652</v>
          </cell>
          <cell r="F150">
            <v>3669</v>
          </cell>
          <cell r="G150">
            <v>3492</v>
          </cell>
          <cell r="H150">
            <v>3559</v>
          </cell>
          <cell r="I150">
            <v>3705</v>
          </cell>
          <cell r="J150">
            <v>3582</v>
          </cell>
          <cell r="K150">
            <v>3842</v>
          </cell>
          <cell r="L150">
            <v>3868</v>
          </cell>
          <cell r="M150">
            <v>3900</v>
          </cell>
          <cell r="N150">
            <v>3881</v>
          </cell>
          <cell r="O150">
            <v>3870</v>
          </cell>
          <cell r="P150">
            <v>3703</v>
          </cell>
          <cell r="Q150">
            <v>3874</v>
          </cell>
          <cell r="R150">
            <v>3855</v>
          </cell>
          <cell r="S150">
            <v>3707</v>
          </cell>
          <cell r="T150">
            <v>3728</v>
          </cell>
          <cell r="U150">
            <v>3751</v>
          </cell>
          <cell r="V150">
            <v>3815</v>
          </cell>
          <cell r="W150">
            <v>3834</v>
          </cell>
          <cell r="X150">
            <v>3833</v>
          </cell>
          <cell r="Y150">
            <v>3855</v>
          </cell>
          <cell r="Z150">
            <v>3863</v>
          </cell>
          <cell r="AA150">
            <v>3815</v>
          </cell>
          <cell r="AB150">
            <v>3827</v>
          </cell>
          <cell r="AC150">
            <v>3750</v>
          </cell>
          <cell r="AD150">
            <v>3753</v>
          </cell>
          <cell r="AE150">
            <v>3745</v>
          </cell>
          <cell r="AF150">
            <v>3732</v>
          </cell>
          <cell r="AG150">
            <v>3740</v>
          </cell>
          <cell r="AH150">
            <v>3782</v>
          </cell>
          <cell r="AI150">
            <v>3841</v>
          </cell>
          <cell r="AJ150">
            <v>5075</v>
          </cell>
          <cell r="AK150">
            <v>5109</v>
          </cell>
          <cell r="AL150">
            <v>5155</v>
          </cell>
          <cell r="AM150">
            <v>5052</v>
          </cell>
          <cell r="AN150">
            <v>5104</v>
          </cell>
          <cell r="AO150">
            <v>5085</v>
          </cell>
          <cell r="AP150">
            <v>4898</v>
          </cell>
          <cell r="AQ150">
            <v>2462</v>
          </cell>
          <cell r="AR150">
            <v>2680</v>
          </cell>
          <cell r="AS150">
            <v>3594</v>
          </cell>
          <cell r="AT150">
            <v>3949</v>
          </cell>
          <cell r="AU150">
            <v>3864</v>
          </cell>
          <cell r="AV150">
            <v>3465</v>
          </cell>
          <cell r="AW150">
            <v>3458</v>
          </cell>
        </row>
        <row r="151">
          <cell r="B151">
            <v>554855</v>
          </cell>
          <cell r="C151" t="str">
            <v>Trstěnice (okres Cheb)</v>
          </cell>
          <cell r="D151" t="str">
            <v>Trstěnice (okres Cheb)</v>
          </cell>
          <cell r="E151">
            <v>386</v>
          </cell>
          <cell r="F151">
            <v>385</v>
          </cell>
          <cell r="G151">
            <v>432</v>
          </cell>
          <cell r="H151">
            <v>420</v>
          </cell>
          <cell r="I151">
            <v>381</v>
          </cell>
          <cell r="J151">
            <v>381</v>
          </cell>
          <cell r="K151">
            <v>335</v>
          </cell>
          <cell r="L151">
            <v>332</v>
          </cell>
          <cell r="M151">
            <v>330</v>
          </cell>
          <cell r="N151">
            <v>338</v>
          </cell>
          <cell r="O151">
            <v>339</v>
          </cell>
          <cell r="P151">
            <v>378</v>
          </cell>
          <cell r="Q151">
            <v>348</v>
          </cell>
          <cell r="R151">
            <v>356</v>
          </cell>
          <cell r="S151">
            <v>375</v>
          </cell>
          <cell r="T151">
            <v>383</v>
          </cell>
          <cell r="U151">
            <v>372</v>
          </cell>
          <cell r="V151">
            <v>375</v>
          </cell>
          <cell r="W151">
            <v>363</v>
          </cell>
          <cell r="X151">
            <v>363</v>
          </cell>
          <cell r="Y151">
            <v>355</v>
          </cell>
          <cell r="Z151">
            <v>351</v>
          </cell>
          <cell r="AA151">
            <v>348</v>
          </cell>
          <cell r="AB151">
            <v>351</v>
          </cell>
          <cell r="AC151">
            <v>336</v>
          </cell>
          <cell r="AD151">
            <v>339</v>
          </cell>
          <cell r="AE151">
            <v>341</v>
          </cell>
          <cell r="AF151">
            <v>344</v>
          </cell>
          <cell r="AG151">
            <v>343</v>
          </cell>
          <cell r="AH151">
            <v>347</v>
          </cell>
          <cell r="AI151">
            <v>340</v>
          </cell>
          <cell r="AJ151">
            <v>891</v>
          </cell>
          <cell r="AK151">
            <v>924</v>
          </cell>
          <cell r="AL151">
            <v>918</v>
          </cell>
          <cell r="AM151">
            <v>912</v>
          </cell>
          <cell r="AN151">
            <v>918</v>
          </cell>
          <cell r="AO151">
            <v>901</v>
          </cell>
          <cell r="AP151">
            <v>892</v>
          </cell>
          <cell r="AQ151">
            <v>370</v>
          </cell>
          <cell r="AR151">
            <v>320</v>
          </cell>
          <cell r="AS151">
            <v>345</v>
          </cell>
          <cell r="AT151">
            <v>351</v>
          </cell>
          <cell r="AU151">
            <v>368</v>
          </cell>
          <cell r="AV151">
            <v>418</v>
          </cell>
          <cell r="AW151">
            <v>407</v>
          </cell>
        </row>
        <row r="152">
          <cell r="B152">
            <v>539023</v>
          </cell>
          <cell r="C152" t="str">
            <v>Třebeň (okres Cheb)</v>
          </cell>
          <cell r="D152" t="str">
            <v>Třebeň (okres Cheb)</v>
          </cell>
          <cell r="E152">
            <v>413</v>
          </cell>
          <cell r="F152">
            <v>399</v>
          </cell>
          <cell r="G152">
            <v>459</v>
          </cell>
          <cell r="H152">
            <v>460</v>
          </cell>
          <cell r="I152">
            <v>398</v>
          </cell>
          <cell r="J152">
            <v>431</v>
          </cell>
          <cell r="K152">
            <v>311</v>
          </cell>
          <cell r="L152">
            <v>302</v>
          </cell>
          <cell r="M152">
            <v>303</v>
          </cell>
          <cell r="N152">
            <v>310</v>
          </cell>
          <cell r="O152">
            <v>318</v>
          </cell>
          <cell r="P152">
            <v>391</v>
          </cell>
          <cell r="Q152">
            <v>320</v>
          </cell>
          <cell r="R152">
            <v>315</v>
          </cell>
          <cell r="S152">
            <v>402</v>
          </cell>
          <cell r="T152">
            <v>403</v>
          </cell>
          <cell r="U152">
            <v>405</v>
          </cell>
          <cell r="V152">
            <v>412</v>
          </cell>
          <cell r="W152">
            <v>432</v>
          </cell>
          <cell r="X152">
            <v>435</v>
          </cell>
          <cell r="Y152">
            <v>412</v>
          </cell>
          <cell r="Z152">
            <v>417</v>
          </cell>
          <cell r="AA152">
            <v>412</v>
          </cell>
          <cell r="AB152">
            <v>412</v>
          </cell>
          <cell r="AC152">
            <v>410</v>
          </cell>
          <cell r="AD152">
            <v>401</v>
          </cell>
          <cell r="AE152">
            <v>392</v>
          </cell>
          <cell r="AF152">
            <v>383</v>
          </cell>
          <cell r="AG152">
            <v>363</v>
          </cell>
          <cell r="AH152">
            <v>354</v>
          </cell>
          <cell r="AI152">
            <v>306</v>
          </cell>
          <cell r="AJ152">
            <v>1321</v>
          </cell>
          <cell r="AK152">
            <v>1533</v>
          </cell>
          <cell r="AL152">
            <v>1377</v>
          </cell>
          <cell r="AM152">
            <v>1274</v>
          </cell>
          <cell r="AN152">
            <v>1326</v>
          </cell>
          <cell r="AO152">
            <v>1285</v>
          </cell>
          <cell r="AP152">
            <v>1455</v>
          </cell>
          <cell r="AQ152">
            <v>513</v>
          </cell>
          <cell r="AR152">
            <v>453</v>
          </cell>
          <cell r="AS152">
            <v>376</v>
          </cell>
          <cell r="AT152">
            <v>391</v>
          </cell>
          <cell r="AU152">
            <v>321</v>
          </cell>
          <cell r="AV152">
            <v>475</v>
          </cell>
          <cell r="AW152">
            <v>484</v>
          </cell>
        </row>
        <row r="153">
          <cell r="B153">
            <v>554880</v>
          </cell>
          <cell r="C153" t="str">
            <v>Tři Sekery (okres Cheb)</v>
          </cell>
          <cell r="D153" t="str">
            <v>Tři Sekery (okres Cheb)</v>
          </cell>
          <cell r="E153">
            <v>984</v>
          </cell>
          <cell r="F153">
            <v>967</v>
          </cell>
          <cell r="G153">
            <v>1046</v>
          </cell>
          <cell r="H153">
            <v>1036</v>
          </cell>
          <cell r="I153">
            <v>948</v>
          </cell>
          <cell r="J153">
            <v>974</v>
          </cell>
          <cell r="K153">
            <v>705</v>
          </cell>
          <cell r="L153">
            <v>710</v>
          </cell>
          <cell r="M153">
            <v>695</v>
          </cell>
          <cell r="N153">
            <v>675</v>
          </cell>
          <cell r="O153">
            <v>674</v>
          </cell>
          <cell r="P153">
            <v>933</v>
          </cell>
          <cell r="Q153">
            <v>677</v>
          </cell>
          <cell r="R153">
            <v>672</v>
          </cell>
          <cell r="S153">
            <v>931</v>
          </cell>
          <cell r="T153">
            <v>924</v>
          </cell>
          <cell r="U153">
            <v>903</v>
          </cell>
          <cell r="V153">
            <v>898</v>
          </cell>
          <cell r="W153">
            <v>884</v>
          </cell>
          <cell r="X153">
            <v>864</v>
          </cell>
          <cell r="Y153">
            <v>873</v>
          </cell>
          <cell r="Z153">
            <v>869</v>
          </cell>
          <cell r="AA153">
            <v>855</v>
          </cell>
          <cell r="AB153">
            <v>843</v>
          </cell>
          <cell r="AC153">
            <v>830</v>
          </cell>
          <cell r="AD153">
            <v>805</v>
          </cell>
          <cell r="AE153">
            <v>792</v>
          </cell>
          <cell r="AF153">
            <v>766</v>
          </cell>
          <cell r="AG153">
            <v>755</v>
          </cell>
          <cell r="AH153">
            <v>727</v>
          </cell>
          <cell r="AI153">
            <v>710</v>
          </cell>
          <cell r="AJ153">
            <v>3814</v>
          </cell>
          <cell r="AK153">
            <v>3857</v>
          </cell>
          <cell r="AL153">
            <v>3873</v>
          </cell>
          <cell r="AM153">
            <v>3749</v>
          </cell>
          <cell r="AN153">
            <v>3671</v>
          </cell>
          <cell r="AO153">
            <v>3406</v>
          </cell>
          <cell r="AP153">
            <v>3144</v>
          </cell>
          <cell r="AQ153">
            <v>850</v>
          </cell>
          <cell r="AR153">
            <v>813</v>
          </cell>
          <cell r="AS153">
            <v>769</v>
          </cell>
          <cell r="AT153">
            <v>695</v>
          </cell>
          <cell r="AU153">
            <v>654</v>
          </cell>
          <cell r="AV153">
            <v>1071</v>
          </cell>
          <cell r="AW153">
            <v>1072</v>
          </cell>
        </row>
        <row r="154">
          <cell r="B154">
            <v>539619</v>
          </cell>
          <cell r="C154" t="str">
            <v>Tuřany (okres Cheb)</v>
          </cell>
          <cell r="D154" t="str">
            <v>Tuřany (okres Cheb)</v>
          </cell>
          <cell r="E154">
            <v>148</v>
          </cell>
          <cell r="F154">
            <v>149</v>
          </cell>
          <cell r="G154">
            <v>142</v>
          </cell>
          <cell r="H154">
            <v>140</v>
          </cell>
          <cell r="I154">
            <v>149</v>
          </cell>
          <cell r="J154">
            <v>133</v>
          </cell>
          <cell r="K154">
            <v>104</v>
          </cell>
          <cell r="L154">
            <v>102</v>
          </cell>
          <cell r="M154">
            <v>99</v>
          </cell>
          <cell r="N154">
            <v>103</v>
          </cell>
          <cell r="O154">
            <v>107</v>
          </cell>
          <cell r="P154">
            <v>147</v>
          </cell>
          <cell r="Q154">
            <v>107</v>
          </cell>
          <cell r="R154">
            <v>108</v>
          </cell>
          <cell r="S154">
            <v>134</v>
          </cell>
          <cell r="T154">
            <v>135</v>
          </cell>
          <cell r="U154">
            <v>139</v>
          </cell>
          <cell r="V154">
            <v>136</v>
          </cell>
          <cell r="W154">
            <v>134</v>
          </cell>
          <cell r="X154">
            <v>127</v>
          </cell>
          <cell r="Y154">
            <v>123</v>
          </cell>
          <cell r="Z154">
            <v>114</v>
          </cell>
          <cell r="AA154">
            <v>120</v>
          </cell>
          <cell r="AB154">
            <v>122</v>
          </cell>
          <cell r="AC154">
            <v>118</v>
          </cell>
          <cell r="AD154">
            <v>115</v>
          </cell>
          <cell r="AE154">
            <v>114</v>
          </cell>
          <cell r="AF154">
            <v>120</v>
          </cell>
          <cell r="AG154">
            <v>118</v>
          </cell>
          <cell r="AH154">
            <v>118</v>
          </cell>
          <cell r="AI154">
            <v>109</v>
          </cell>
          <cell r="AJ154">
            <v>474</v>
          </cell>
          <cell r="AK154">
            <v>463</v>
          </cell>
          <cell r="AL154">
            <v>392</v>
          </cell>
          <cell r="AM154">
            <v>375</v>
          </cell>
          <cell r="AN154">
            <v>398</v>
          </cell>
          <cell r="AO154">
            <v>383</v>
          </cell>
          <cell r="AP154">
            <v>375</v>
          </cell>
          <cell r="AQ154">
            <v>166</v>
          </cell>
          <cell r="AR154">
            <v>127</v>
          </cell>
          <cell r="AS154">
            <v>84</v>
          </cell>
          <cell r="AT154">
            <v>110</v>
          </cell>
          <cell r="AU154">
            <v>92</v>
          </cell>
          <cell r="AV154">
            <v>141</v>
          </cell>
          <cell r="AW154">
            <v>137</v>
          </cell>
        </row>
        <row r="155">
          <cell r="B155">
            <v>555681</v>
          </cell>
          <cell r="C155" t="str">
            <v>Útvina (okres Karlovy Vary)</v>
          </cell>
          <cell r="D155" t="str">
            <v>Útvina (okres Karlovy Vary)</v>
          </cell>
          <cell r="E155">
            <v>601</v>
          </cell>
          <cell r="F155">
            <v>585</v>
          </cell>
          <cell r="G155">
            <v>581</v>
          </cell>
          <cell r="H155">
            <v>581</v>
          </cell>
          <cell r="I155">
            <v>578</v>
          </cell>
          <cell r="J155">
            <v>603</v>
          </cell>
          <cell r="K155">
            <v>533</v>
          </cell>
          <cell r="L155">
            <v>518</v>
          </cell>
          <cell r="M155">
            <v>510</v>
          </cell>
          <cell r="N155">
            <v>513</v>
          </cell>
          <cell r="O155">
            <v>509</v>
          </cell>
          <cell r="P155">
            <v>574</v>
          </cell>
          <cell r="Q155">
            <v>496</v>
          </cell>
          <cell r="R155">
            <v>482</v>
          </cell>
          <cell r="S155">
            <v>577</v>
          </cell>
          <cell r="T155">
            <v>574</v>
          </cell>
          <cell r="U155">
            <v>570</v>
          </cell>
          <cell r="V155">
            <v>578</v>
          </cell>
          <cell r="W155">
            <v>591</v>
          </cell>
          <cell r="X155">
            <v>605</v>
          </cell>
          <cell r="Y155">
            <v>591</v>
          </cell>
          <cell r="Z155">
            <v>594</v>
          </cell>
          <cell r="AA155">
            <v>593</v>
          </cell>
          <cell r="AB155">
            <v>590</v>
          </cell>
          <cell r="AC155">
            <v>577</v>
          </cell>
          <cell r="AD155">
            <v>573</v>
          </cell>
          <cell r="AE155">
            <v>563</v>
          </cell>
          <cell r="AF155">
            <v>553</v>
          </cell>
          <cell r="AG155">
            <v>546</v>
          </cell>
          <cell r="AH155">
            <v>555</v>
          </cell>
          <cell r="AI155">
            <v>530</v>
          </cell>
          <cell r="AJ155">
            <v>1954</v>
          </cell>
          <cell r="AK155">
            <v>2011</v>
          </cell>
          <cell r="AL155">
            <v>1929</v>
          </cell>
          <cell r="AM155">
            <v>1835</v>
          </cell>
          <cell r="AN155">
            <v>1856</v>
          </cell>
          <cell r="AO155">
            <v>1864</v>
          </cell>
          <cell r="AP155">
            <v>1820</v>
          </cell>
          <cell r="AQ155">
            <v>830</v>
          </cell>
          <cell r="AR155">
            <v>633</v>
          </cell>
          <cell r="AS155">
            <v>582</v>
          </cell>
          <cell r="AT155">
            <v>536</v>
          </cell>
          <cell r="AU155">
            <v>476</v>
          </cell>
          <cell r="AV155">
            <v>580</v>
          </cell>
          <cell r="AW155">
            <v>590</v>
          </cell>
        </row>
        <row r="156">
          <cell r="B156">
            <v>555690</v>
          </cell>
          <cell r="C156" t="str">
            <v>Valeč (okres Karlovy Vary)</v>
          </cell>
          <cell r="D156" t="str">
            <v>Valeč (okres Karlovy Vary)</v>
          </cell>
          <cell r="E156">
            <v>362</v>
          </cell>
          <cell r="F156">
            <v>368</v>
          </cell>
          <cell r="G156">
            <v>336</v>
          </cell>
          <cell r="H156">
            <v>348</v>
          </cell>
          <cell r="I156">
            <v>357</v>
          </cell>
          <cell r="J156">
            <v>333</v>
          </cell>
          <cell r="K156">
            <v>371</v>
          </cell>
          <cell r="L156">
            <v>364</v>
          </cell>
          <cell r="M156">
            <v>364</v>
          </cell>
          <cell r="N156">
            <v>354</v>
          </cell>
          <cell r="O156">
            <v>363</v>
          </cell>
          <cell r="P156">
            <v>333</v>
          </cell>
          <cell r="Q156">
            <v>377</v>
          </cell>
          <cell r="R156">
            <v>377</v>
          </cell>
          <cell r="S156">
            <v>346</v>
          </cell>
          <cell r="T156">
            <v>357</v>
          </cell>
          <cell r="U156">
            <v>371</v>
          </cell>
          <cell r="V156">
            <v>356</v>
          </cell>
          <cell r="W156">
            <v>359</v>
          </cell>
          <cell r="X156">
            <v>361</v>
          </cell>
          <cell r="Y156">
            <v>375</v>
          </cell>
          <cell r="Z156">
            <v>381</v>
          </cell>
          <cell r="AA156">
            <v>385</v>
          </cell>
          <cell r="AB156">
            <v>388</v>
          </cell>
          <cell r="AC156">
            <v>391</v>
          </cell>
          <cell r="AD156">
            <v>388</v>
          </cell>
          <cell r="AE156">
            <v>389</v>
          </cell>
          <cell r="AF156">
            <v>379</v>
          </cell>
          <cell r="AG156">
            <v>382</v>
          </cell>
          <cell r="AH156">
            <v>370</v>
          </cell>
          <cell r="AI156">
            <v>379</v>
          </cell>
          <cell r="AJ156">
            <v>1771</v>
          </cell>
          <cell r="AK156">
            <v>1810</v>
          </cell>
          <cell r="AL156">
            <v>1789</v>
          </cell>
          <cell r="AM156">
            <v>1617</v>
          </cell>
          <cell r="AN156">
            <v>1573</v>
          </cell>
          <cell r="AO156">
            <v>1487</v>
          </cell>
          <cell r="AP156">
            <v>1420</v>
          </cell>
          <cell r="AQ156">
            <v>696</v>
          </cell>
          <cell r="AR156">
            <v>629</v>
          </cell>
          <cell r="AS156">
            <v>589</v>
          </cell>
          <cell r="AT156">
            <v>508</v>
          </cell>
          <cell r="AU156">
            <v>371</v>
          </cell>
          <cell r="AV156">
            <v>326</v>
          </cell>
          <cell r="AW156">
            <v>320</v>
          </cell>
        </row>
        <row r="157">
          <cell r="B157">
            <v>539481</v>
          </cell>
          <cell r="C157" t="str">
            <v>Valy (okres Cheb)</v>
          </cell>
          <cell r="D157" t="str">
            <v>Valy (okres Cheb)</v>
          </cell>
          <cell r="E157">
            <v>472</v>
          </cell>
          <cell r="F157">
            <v>473</v>
          </cell>
          <cell r="G157">
            <v>480</v>
          </cell>
          <cell r="H157">
            <v>482</v>
          </cell>
          <cell r="I157">
            <v>478</v>
          </cell>
          <cell r="J157">
            <v>469</v>
          </cell>
          <cell r="K157">
            <v>294</v>
          </cell>
          <cell r="L157">
            <v>298</v>
          </cell>
          <cell r="M157">
            <v>297</v>
          </cell>
          <cell r="N157">
            <v>287</v>
          </cell>
          <cell r="O157">
            <v>297</v>
          </cell>
          <cell r="P157">
            <v>480</v>
          </cell>
          <cell r="Q157">
            <v>283</v>
          </cell>
          <cell r="R157">
            <v>285</v>
          </cell>
          <cell r="S157">
            <v>468</v>
          </cell>
          <cell r="T157">
            <v>458</v>
          </cell>
          <cell r="U157">
            <v>451</v>
          </cell>
          <cell r="V157">
            <v>450</v>
          </cell>
          <cell r="W157">
            <v>442</v>
          </cell>
          <cell r="X157">
            <v>431</v>
          </cell>
          <cell r="Y157">
            <v>420</v>
          </cell>
          <cell r="Z157">
            <v>396</v>
          </cell>
          <cell r="AA157">
            <v>386</v>
          </cell>
          <cell r="AB157">
            <v>380</v>
          </cell>
          <cell r="AC157">
            <v>377</v>
          </cell>
          <cell r="AD157">
            <v>352</v>
          </cell>
          <cell r="AE157">
            <v>342</v>
          </cell>
          <cell r="AF157">
            <v>322</v>
          </cell>
          <cell r="AG157">
            <v>313</v>
          </cell>
          <cell r="AH157">
            <v>305</v>
          </cell>
          <cell r="AI157">
            <v>307</v>
          </cell>
          <cell r="AJ157">
            <v>427</v>
          </cell>
          <cell r="AK157">
            <v>558</v>
          </cell>
          <cell r="AL157">
            <v>675</v>
          </cell>
          <cell r="AM157">
            <v>551</v>
          </cell>
          <cell r="AN157">
            <v>614</v>
          </cell>
          <cell r="AO157">
            <v>541</v>
          </cell>
          <cell r="AP157">
            <v>588</v>
          </cell>
          <cell r="AQ157">
            <v>207</v>
          </cell>
          <cell r="AR157">
            <v>268</v>
          </cell>
          <cell r="AS157">
            <v>253</v>
          </cell>
          <cell r="AT157">
            <v>249</v>
          </cell>
          <cell r="AU157">
            <v>290</v>
          </cell>
          <cell r="AV157">
            <v>487</v>
          </cell>
          <cell r="AW157">
            <v>468</v>
          </cell>
        </row>
        <row r="158">
          <cell r="B158">
            <v>555703</v>
          </cell>
          <cell r="C158" t="str">
            <v>Velichov (okres Karlovy Vary)</v>
          </cell>
          <cell r="D158" t="str">
            <v>Velichov (okres Karlovy Vary)</v>
          </cell>
          <cell r="E158">
            <v>551</v>
          </cell>
          <cell r="F158">
            <v>543</v>
          </cell>
          <cell r="G158">
            <v>496</v>
          </cell>
          <cell r="H158">
            <v>502</v>
          </cell>
          <cell r="I158">
            <v>549</v>
          </cell>
          <cell r="J158">
            <v>498</v>
          </cell>
          <cell r="K158">
            <v>413</v>
          </cell>
          <cell r="L158">
            <v>412</v>
          </cell>
          <cell r="M158">
            <v>423</v>
          </cell>
          <cell r="N158">
            <v>427</v>
          </cell>
          <cell r="O158">
            <v>431</v>
          </cell>
          <cell r="P158">
            <v>553</v>
          </cell>
          <cell r="Q158">
            <v>432</v>
          </cell>
          <cell r="R158">
            <v>444</v>
          </cell>
          <cell r="S158">
            <v>551</v>
          </cell>
          <cell r="T158">
            <v>557</v>
          </cell>
          <cell r="U158">
            <v>544</v>
          </cell>
          <cell r="V158">
            <v>543</v>
          </cell>
          <cell r="W158">
            <v>544</v>
          </cell>
          <cell r="X158">
            <v>548</v>
          </cell>
          <cell r="Y158">
            <v>555</v>
          </cell>
          <cell r="Z158">
            <v>539</v>
          </cell>
          <cell r="AA158">
            <v>538</v>
          </cell>
          <cell r="AB158">
            <v>526</v>
          </cell>
          <cell r="AC158">
            <v>517</v>
          </cell>
          <cell r="AD158">
            <v>512</v>
          </cell>
          <cell r="AE158">
            <v>508</v>
          </cell>
          <cell r="AF158">
            <v>506</v>
          </cell>
          <cell r="AG158">
            <v>499</v>
          </cell>
          <cell r="AH158">
            <v>492</v>
          </cell>
          <cell r="AI158">
            <v>425</v>
          </cell>
          <cell r="AJ158">
            <v>490</v>
          </cell>
          <cell r="AK158">
            <v>522</v>
          </cell>
          <cell r="AL158">
            <v>534</v>
          </cell>
          <cell r="AM158">
            <v>558</v>
          </cell>
          <cell r="AN158">
            <v>651</v>
          </cell>
          <cell r="AO158">
            <v>655</v>
          </cell>
          <cell r="AP158">
            <v>751</v>
          </cell>
          <cell r="AQ158">
            <v>398</v>
          </cell>
          <cell r="AR158">
            <v>457</v>
          </cell>
          <cell r="AS158">
            <v>509</v>
          </cell>
          <cell r="AT158">
            <v>524</v>
          </cell>
          <cell r="AU158">
            <v>487</v>
          </cell>
          <cell r="AV158">
            <v>501</v>
          </cell>
          <cell r="AW158">
            <v>499</v>
          </cell>
        </row>
        <row r="159">
          <cell r="B159">
            <v>539279</v>
          </cell>
          <cell r="C159" t="str">
            <v>Velká Hleďsebe (okres Cheb)</v>
          </cell>
          <cell r="D159" t="str">
            <v>Velká Hleďsebe (okres Cheb)</v>
          </cell>
          <cell r="E159">
            <v>2331</v>
          </cell>
          <cell r="F159">
            <v>2350</v>
          </cell>
          <cell r="G159">
            <v>2423</v>
          </cell>
          <cell r="H159">
            <v>2343</v>
          </cell>
          <cell r="I159">
            <v>2330</v>
          </cell>
          <cell r="J159">
            <v>2253</v>
          </cell>
          <cell r="K159">
            <v>2159</v>
          </cell>
          <cell r="L159">
            <v>2154</v>
          </cell>
          <cell r="M159">
            <v>2162</v>
          </cell>
          <cell r="N159">
            <v>2153</v>
          </cell>
          <cell r="O159">
            <v>2145</v>
          </cell>
          <cell r="P159">
            <v>2271</v>
          </cell>
          <cell r="Q159">
            <v>2159</v>
          </cell>
          <cell r="R159">
            <v>2155</v>
          </cell>
          <cell r="S159">
            <v>2247</v>
          </cell>
          <cell r="T159">
            <v>2215</v>
          </cell>
          <cell r="U159">
            <v>2229</v>
          </cell>
          <cell r="V159">
            <v>2222</v>
          </cell>
          <cell r="W159">
            <v>2226</v>
          </cell>
          <cell r="X159">
            <v>2189</v>
          </cell>
          <cell r="Y159">
            <v>2234</v>
          </cell>
          <cell r="Z159">
            <v>2202</v>
          </cell>
          <cell r="AA159">
            <v>2201</v>
          </cell>
          <cell r="AB159">
            <v>2166</v>
          </cell>
          <cell r="AC159">
            <v>2168</v>
          </cell>
          <cell r="AD159">
            <v>2192</v>
          </cell>
          <cell r="AE159">
            <v>2174</v>
          </cell>
          <cell r="AF159">
            <v>2164</v>
          </cell>
          <cell r="AG159">
            <v>2147</v>
          </cell>
          <cell r="AH159">
            <v>2125</v>
          </cell>
          <cell r="AI159">
            <v>2149</v>
          </cell>
          <cell r="AJ159">
            <v>959</v>
          </cell>
          <cell r="AK159">
            <v>1237</v>
          </cell>
          <cell r="AL159">
            <v>1464</v>
          </cell>
          <cell r="AM159">
            <v>1962</v>
          </cell>
          <cell r="AN159">
            <v>2605</v>
          </cell>
          <cell r="AO159">
            <v>2517</v>
          </cell>
          <cell r="AP159">
            <v>2924</v>
          </cell>
          <cell r="AQ159">
            <v>1218</v>
          </cell>
          <cell r="AR159">
            <v>1946</v>
          </cell>
          <cell r="AS159">
            <v>1786</v>
          </cell>
          <cell r="AT159">
            <v>2214</v>
          </cell>
          <cell r="AU159">
            <v>2113</v>
          </cell>
          <cell r="AV159">
            <v>2402</v>
          </cell>
          <cell r="AW159">
            <v>2483</v>
          </cell>
        </row>
        <row r="160">
          <cell r="B160">
            <v>578002</v>
          </cell>
          <cell r="C160" t="str">
            <v>Velký Luh (okres Cheb)</v>
          </cell>
          <cell r="D160" t="str">
            <v>Velký Luh (okres Cheb)</v>
          </cell>
          <cell r="E160">
            <v>163</v>
          </cell>
          <cell r="F160">
            <v>164</v>
          </cell>
          <cell r="G160">
            <v>175</v>
          </cell>
          <cell r="H160">
            <v>170</v>
          </cell>
          <cell r="I160">
            <v>167</v>
          </cell>
          <cell r="J160">
            <v>167</v>
          </cell>
          <cell r="K160">
            <v>110</v>
          </cell>
          <cell r="L160">
            <v>109</v>
          </cell>
          <cell r="M160">
            <v>98</v>
          </cell>
          <cell r="N160">
            <v>103</v>
          </cell>
          <cell r="O160">
            <v>106</v>
          </cell>
          <cell r="P160">
            <v>158</v>
          </cell>
          <cell r="Q160">
            <v>100</v>
          </cell>
          <cell r="R160">
            <v>101</v>
          </cell>
          <cell r="S160">
            <v>150</v>
          </cell>
          <cell r="T160">
            <v>153</v>
          </cell>
          <cell r="U160">
            <v>154</v>
          </cell>
          <cell r="V160">
            <v>155</v>
          </cell>
          <cell r="W160">
            <v>151</v>
          </cell>
          <cell r="X160">
            <v>147</v>
          </cell>
          <cell r="Y160">
            <v>150</v>
          </cell>
          <cell r="Z160">
            <v>150</v>
          </cell>
          <cell r="AA160">
            <v>144</v>
          </cell>
          <cell r="AB160">
            <v>143</v>
          </cell>
          <cell r="AC160">
            <v>141</v>
          </cell>
          <cell r="AD160">
            <v>138</v>
          </cell>
          <cell r="AE160">
            <v>137</v>
          </cell>
          <cell r="AF160">
            <v>131</v>
          </cell>
          <cell r="AG160">
            <v>131</v>
          </cell>
          <cell r="AH160">
            <v>123</v>
          </cell>
          <cell r="AI160">
            <v>113</v>
          </cell>
          <cell r="AJ160">
            <v>534</v>
          </cell>
          <cell r="AK160">
            <v>487</v>
          </cell>
          <cell r="AL160">
            <v>449</v>
          </cell>
          <cell r="AM160">
            <v>480</v>
          </cell>
          <cell r="AN160">
            <v>458</v>
          </cell>
          <cell r="AO160">
            <v>407</v>
          </cell>
          <cell r="AP160">
            <v>539</v>
          </cell>
          <cell r="AQ160">
            <v>170</v>
          </cell>
          <cell r="AR160">
            <v>184</v>
          </cell>
          <cell r="AS160">
            <v>185</v>
          </cell>
          <cell r="AT160">
            <v>134</v>
          </cell>
          <cell r="AU160">
            <v>110</v>
          </cell>
          <cell r="AV160">
            <v>180</v>
          </cell>
          <cell r="AW160">
            <v>180</v>
          </cell>
        </row>
        <row r="161">
          <cell r="B161">
            <v>555711</v>
          </cell>
          <cell r="C161" t="str">
            <v>Verušičky (okres Karlovy Vary)</v>
          </cell>
          <cell r="D161" t="str">
            <v>Verušičky (okres Karlovy Vary)</v>
          </cell>
          <cell r="E161">
            <v>461</v>
          </cell>
          <cell r="F161">
            <v>470</v>
          </cell>
          <cell r="G161">
            <v>469</v>
          </cell>
          <cell r="H161">
            <v>465</v>
          </cell>
          <cell r="I161">
            <v>473</v>
          </cell>
          <cell r="J161">
            <v>472</v>
          </cell>
          <cell r="K161">
            <v>278</v>
          </cell>
          <cell r="L161">
            <v>278</v>
          </cell>
          <cell r="M161">
            <v>270</v>
          </cell>
          <cell r="N161">
            <v>273</v>
          </cell>
          <cell r="O161">
            <v>286</v>
          </cell>
          <cell r="P161">
            <v>473</v>
          </cell>
          <cell r="Q161">
            <v>268</v>
          </cell>
          <cell r="R161">
            <v>273</v>
          </cell>
          <cell r="S161">
            <v>505</v>
          </cell>
          <cell r="T161">
            <v>372</v>
          </cell>
          <cell r="U161">
            <v>381</v>
          </cell>
          <cell r="V161">
            <v>391</v>
          </cell>
          <cell r="W161">
            <v>403</v>
          </cell>
          <cell r="X161">
            <v>411</v>
          </cell>
          <cell r="Y161">
            <v>347</v>
          </cell>
          <cell r="Z161">
            <v>362</v>
          </cell>
          <cell r="AA161">
            <v>371</v>
          </cell>
          <cell r="AB161">
            <v>357</v>
          </cell>
          <cell r="AC161">
            <v>359</v>
          </cell>
          <cell r="AD161">
            <v>358</v>
          </cell>
          <cell r="AE161">
            <v>347</v>
          </cell>
          <cell r="AF161">
            <v>331</v>
          </cell>
          <cell r="AG161">
            <v>341</v>
          </cell>
          <cell r="AH161">
            <v>343</v>
          </cell>
          <cell r="AI161">
            <v>268</v>
          </cell>
          <cell r="AJ161">
            <v>2283</v>
          </cell>
          <cell r="AK161">
            <v>2110</v>
          </cell>
          <cell r="AL161">
            <v>1929</v>
          </cell>
          <cell r="AM161">
            <v>1847</v>
          </cell>
          <cell r="AN161">
            <v>1814</v>
          </cell>
          <cell r="AO161">
            <v>1757</v>
          </cell>
          <cell r="AP161">
            <v>1686</v>
          </cell>
          <cell r="AQ161">
            <v>650</v>
          </cell>
          <cell r="AR161">
            <v>476</v>
          </cell>
          <cell r="AS161">
            <v>362</v>
          </cell>
          <cell r="AT161">
            <v>350</v>
          </cell>
          <cell r="AU161">
            <v>327</v>
          </cell>
          <cell r="AV161">
            <v>463</v>
          </cell>
          <cell r="AW161">
            <v>456</v>
          </cell>
        </row>
        <row r="162">
          <cell r="B162">
            <v>560685</v>
          </cell>
          <cell r="C162" t="str">
            <v>Vintířov (okres Sokolov)</v>
          </cell>
          <cell r="D162" t="str">
            <v>Vintířov (okres Sokolov)</v>
          </cell>
          <cell r="E162">
            <v>1196</v>
          </cell>
          <cell r="F162">
            <v>1196</v>
          </cell>
          <cell r="G162">
            <v>1232</v>
          </cell>
          <cell r="H162">
            <v>1232</v>
          </cell>
          <cell r="I162">
            <v>1187</v>
          </cell>
          <cell r="J162">
            <v>1208</v>
          </cell>
          <cell r="K162">
            <v>1035</v>
          </cell>
          <cell r="L162">
            <v>1008</v>
          </cell>
          <cell r="M162">
            <v>996</v>
          </cell>
          <cell r="N162">
            <v>993</v>
          </cell>
          <cell r="O162">
            <v>985</v>
          </cell>
          <cell r="P162">
            <v>1157</v>
          </cell>
          <cell r="Q162">
            <v>977</v>
          </cell>
          <cell r="R162">
            <v>957</v>
          </cell>
          <cell r="S162">
            <v>1148</v>
          </cell>
          <cell r="T162">
            <v>1135</v>
          </cell>
          <cell r="U162">
            <v>1151</v>
          </cell>
          <cell r="V162">
            <v>1162</v>
          </cell>
          <cell r="W162">
            <v>1165</v>
          </cell>
          <cell r="X162">
            <v>1165</v>
          </cell>
          <cell r="Y162">
            <v>1164</v>
          </cell>
          <cell r="Z162">
            <v>1184</v>
          </cell>
          <cell r="AA162">
            <v>1157</v>
          </cell>
          <cell r="AB162">
            <v>1177</v>
          </cell>
          <cell r="AC162">
            <v>1162</v>
          </cell>
          <cell r="AD162">
            <v>1166</v>
          </cell>
          <cell r="AE162">
            <v>1142</v>
          </cell>
          <cell r="AF162">
            <v>1132</v>
          </cell>
          <cell r="AG162">
            <v>1110</v>
          </cell>
          <cell r="AH162">
            <v>1096</v>
          </cell>
          <cell r="AI162">
            <v>1062</v>
          </cell>
          <cell r="AJ162">
            <v>1265</v>
          </cell>
          <cell r="AK162">
            <v>1066</v>
          </cell>
          <cell r="AL162">
            <v>1172</v>
          </cell>
          <cell r="AM162">
            <v>1705</v>
          </cell>
          <cell r="AN162">
            <v>1995</v>
          </cell>
          <cell r="AO162">
            <v>1960</v>
          </cell>
          <cell r="AP162">
            <v>2076</v>
          </cell>
          <cell r="AQ162">
            <v>1235</v>
          </cell>
          <cell r="AR162">
            <v>1239</v>
          </cell>
          <cell r="AS162">
            <v>1353</v>
          </cell>
          <cell r="AT162">
            <v>1128</v>
          </cell>
          <cell r="AU162">
            <v>945</v>
          </cell>
          <cell r="AV162">
            <v>1235</v>
          </cell>
          <cell r="AW162">
            <v>1245</v>
          </cell>
        </row>
        <row r="163">
          <cell r="B163">
            <v>539376</v>
          </cell>
          <cell r="C163" t="str">
            <v>Vlkovice (okres Cheb)</v>
          </cell>
          <cell r="D163" t="str">
            <v>Vlkovice (okres Cheb)</v>
          </cell>
          <cell r="E163">
            <v>114</v>
          </cell>
          <cell r="F163">
            <v>116</v>
          </cell>
          <cell r="G163">
            <v>124</v>
          </cell>
          <cell r="H163">
            <v>127</v>
          </cell>
          <cell r="I163">
            <v>116</v>
          </cell>
          <cell r="J163">
            <v>122</v>
          </cell>
          <cell r="K163">
            <v>129</v>
          </cell>
          <cell r="L163">
            <v>113</v>
          </cell>
          <cell r="M163">
            <v>112</v>
          </cell>
          <cell r="N163">
            <v>118</v>
          </cell>
          <cell r="O163">
            <v>121</v>
          </cell>
          <cell r="P163">
            <v>119</v>
          </cell>
          <cell r="Q163">
            <v>122</v>
          </cell>
          <cell r="R163">
            <v>123</v>
          </cell>
          <cell r="S163">
            <v>114</v>
          </cell>
          <cell r="T163">
            <v>121</v>
          </cell>
          <cell r="U163">
            <v>121</v>
          </cell>
          <cell r="V163">
            <v>120</v>
          </cell>
          <cell r="W163">
            <v>123</v>
          </cell>
          <cell r="X163">
            <v>121</v>
          </cell>
          <cell r="Y163">
            <v>122</v>
          </cell>
          <cell r="Z163">
            <v>121</v>
          </cell>
          <cell r="AA163">
            <v>125</v>
          </cell>
          <cell r="AB163">
            <v>130</v>
          </cell>
          <cell r="AC163">
            <v>131</v>
          </cell>
          <cell r="AD163">
            <v>128</v>
          </cell>
          <cell r="AE163">
            <v>130</v>
          </cell>
          <cell r="AF163">
            <v>130</v>
          </cell>
          <cell r="AG163">
            <v>130</v>
          </cell>
          <cell r="AH163">
            <v>130</v>
          </cell>
          <cell r="AI163">
            <v>131</v>
          </cell>
          <cell r="AJ163">
            <v>312</v>
          </cell>
          <cell r="AK163">
            <v>336</v>
          </cell>
          <cell r="AL163">
            <v>287</v>
          </cell>
          <cell r="AM163">
            <v>307</v>
          </cell>
          <cell r="AN163">
            <v>333</v>
          </cell>
          <cell r="AO163">
            <v>312</v>
          </cell>
          <cell r="AP163">
            <v>377</v>
          </cell>
          <cell r="AQ163">
            <v>166</v>
          </cell>
          <cell r="AR163">
            <v>149</v>
          </cell>
          <cell r="AS163">
            <v>125</v>
          </cell>
          <cell r="AT163">
            <v>135</v>
          </cell>
          <cell r="AU163">
            <v>130</v>
          </cell>
          <cell r="AV163">
            <v>122</v>
          </cell>
          <cell r="AW163">
            <v>120</v>
          </cell>
        </row>
        <row r="164">
          <cell r="B164">
            <v>555738</v>
          </cell>
          <cell r="C164" t="str">
            <v>Vojkovice (okres Karlovy Vary)</v>
          </cell>
          <cell r="D164" t="str">
            <v>Vojkovice (okres Karlovy Vary)</v>
          </cell>
          <cell r="E164">
            <v>645</v>
          </cell>
          <cell r="F164">
            <v>650</v>
          </cell>
          <cell r="G164">
            <v>625</v>
          </cell>
          <cell r="H164">
            <v>610</v>
          </cell>
          <cell r="I164">
            <v>619</v>
          </cell>
          <cell r="J164">
            <v>598</v>
          </cell>
          <cell r="K164">
            <v>562</v>
          </cell>
          <cell r="L164">
            <v>547</v>
          </cell>
          <cell r="M164">
            <v>545</v>
          </cell>
          <cell r="N164">
            <v>530</v>
          </cell>
          <cell r="O164">
            <v>531</v>
          </cell>
          <cell r="P164">
            <v>626</v>
          </cell>
          <cell r="Q164">
            <v>540</v>
          </cell>
          <cell r="R164">
            <v>544</v>
          </cell>
          <cell r="S164">
            <v>636</v>
          </cell>
          <cell r="T164">
            <v>640</v>
          </cell>
          <cell r="U164">
            <v>633</v>
          </cell>
          <cell r="V164">
            <v>647</v>
          </cell>
          <cell r="W164">
            <v>653</v>
          </cell>
          <cell r="X164">
            <v>659</v>
          </cell>
          <cell r="Y164">
            <v>642</v>
          </cell>
          <cell r="Z164">
            <v>641</v>
          </cell>
          <cell r="AA164">
            <v>633</v>
          </cell>
          <cell r="AB164">
            <v>601</v>
          </cell>
          <cell r="AC164">
            <v>595</v>
          </cell>
          <cell r="AD164">
            <v>603</v>
          </cell>
          <cell r="AE164">
            <v>587</v>
          </cell>
          <cell r="AF164">
            <v>586</v>
          </cell>
          <cell r="AG164">
            <v>579</v>
          </cell>
          <cell r="AH164">
            <v>572</v>
          </cell>
          <cell r="AI164">
            <v>582</v>
          </cell>
          <cell r="AJ164">
            <v>775</v>
          </cell>
          <cell r="AK164">
            <v>819</v>
          </cell>
          <cell r="AL164">
            <v>927</v>
          </cell>
          <cell r="AM164">
            <v>1290</v>
          </cell>
          <cell r="AN164">
            <v>1355</v>
          </cell>
          <cell r="AO164">
            <v>1361</v>
          </cell>
          <cell r="AP164">
            <v>1524</v>
          </cell>
          <cell r="AQ164">
            <v>1013</v>
          </cell>
          <cell r="AR164">
            <v>901</v>
          </cell>
          <cell r="AS164">
            <v>861</v>
          </cell>
          <cell r="AT164">
            <v>730</v>
          </cell>
          <cell r="AU164">
            <v>538</v>
          </cell>
          <cell r="AV164">
            <v>636</v>
          </cell>
          <cell r="AW164">
            <v>640</v>
          </cell>
        </row>
        <row r="165">
          <cell r="B165">
            <v>539074</v>
          </cell>
          <cell r="C165" t="str">
            <v>Vojtanov (okres Cheb)</v>
          </cell>
          <cell r="D165" t="str">
            <v>Vojtanov (okres Cheb)</v>
          </cell>
          <cell r="E165">
            <v>238</v>
          </cell>
          <cell r="F165">
            <v>233</v>
          </cell>
          <cell r="G165">
            <v>248</v>
          </cell>
          <cell r="H165">
            <v>235</v>
          </cell>
          <cell r="I165">
            <v>235</v>
          </cell>
          <cell r="J165">
            <v>232</v>
          </cell>
          <cell r="K165">
            <v>168</v>
          </cell>
          <cell r="L165">
            <v>159</v>
          </cell>
          <cell r="M165">
            <v>166</v>
          </cell>
          <cell r="N165">
            <v>164</v>
          </cell>
          <cell r="O165">
            <v>168</v>
          </cell>
          <cell r="P165">
            <v>220</v>
          </cell>
          <cell r="Q165">
            <v>165</v>
          </cell>
          <cell r="R165">
            <v>157</v>
          </cell>
          <cell r="S165">
            <v>218</v>
          </cell>
          <cell r="T165">
            <v>211</v>
          </cell>
          <cell r="U165">
            <v>221</v>
          </cell>
          <cell r="V165">
            <v>213</v>
          </cell>
          <cell r="W165">
            <v>217</v>
          </cell>
          <cell r="X165">
            <v>200</v>
          </cell>
          <cell r="Y165">
            <v>199</v>
          </cell>
          <cell r="Z165">
            <v>206</v>
          </cell>
          <cell r="AA165">
            <v>206</v>
          </cell>
          <cell r="AB165">
            <v>207</v>
          </cell>
          <cell r="AC165">
            <v>201</v>
          </cell>
          <cell r="AD165">
            <v>207</v>
          </cell>
          <cell r="AE165">
            <v>216</v>
          </cell>
          <cell r="AF165">
            <v>217</v>
          </cell>
          <cell r="AG165">
            <v>205</v>
          </cell>
          <cell r="AH165">
            <v>191</v>
          </cell>
          <cell r="AI165">
            <v>174</v>
          </cell>
          <cell r="AJ165">
            <v>684</v>
          </cell>
          <cell r="AK165">
            <v>820</v>
          </cell>
          <cell r="AL165">
            <v>701</v>
          </cell>
          <cell r="AM165">
            <v>647</v>
          </cell>
          <cell r="AN165">
            <v>770</v>
          </cell>
          <cell r="AO165">
            <v>757</v>
          </cell>
          <cell r="AP165">
            <v>745</v>
          </cell>
          <cell r="AQ165">
            <v>266</v>
          </cell>
          <cell r="AR165">
            <v>329</v>
          </cell>
          <cell r="AS165">
            <v>282</v>
          </cell>
          <cell r="AT165">
            <v>235</v>
          </cell>
          <cell r="AU165">
            <v>170</v>
          </cell>
          <cell r="AV165">
            <v>254</v>
          </cell>
          <cell r="AW165">
            <v>248</v>
          </cell>
        </row>
        <row r="166">
          <cell r="B166">
            <v>566675</v>
          </cell>
          <cell r="C166" t="str">
            <v>Vrbice (okres Karlovy Vary)</v>
          </cell>
          <cell r="D166" t="str">
            <v>Vrbice (okres Karlovy Vary)</v>
          </cell>
          <cell r="E166">
            <v>193</v>
          </cell>
          <cell r="F166">
            <v>194</v>
          </cell>
          <cell r="G166">
            <v>201</v>
          </cell>
          <cell r="H166">
            <v>194</v>
          </cell>
          <cell r="I166">
            <v>191</v>
          </cell>
          <cell r="J166">
            <v>197</v>
          </cell>
          <cell r="K166">
            <v>201</v>
          </cell>
          <cell r="L166">
            <v>198</v>
          </cell>
          <cell r="M166">
            <v>202</v>
          </cell>
          <cell r="N166">
            <v>198</v>
          </cell>
          <cell r="O166">
            <v>187</v>
          </cell>
          <cell r="P166">
            <v>194</v>
          </cell>
          <cell r="Q166">
            <v>196</v>
          </cell>
          <cell r="R166">
            <v>191</v>
          </cell>
          <cell r="S166">
            <v>181</v>
          </cell>
          <cell r="T166">
            <v>184</v>
          </cell>
          <cell r="U166">
            <v>196</v>
          </cell>
          <cell r="V166">
            <v>198</v>
          </cell>
          <cell r="W166">
            <v>196</v>
          </cell>
          <cell r="X166">
            <v>192</v>
          </cell>
          <cell r="Y166">
            <v>191</v>
          </cell>
          <cell r="Z166">
            <v>180</v>
          </cell>
          <cell r="AA166">
            <v>182</v>
          </cell>
          <cell r="AB166">
            <v>183</v>
          </cell>
          <cell r="AC166">
            <v>181</v>
          </cell>
          <cell r="AD166">
            <v>178</v>
          </cell>
          <cell r="AE166">
            <v>168</v>
          </cell>
          <cell r="AF166">
            <v>175</v>
          </cell>
          <cell r="AG166">
            <v>175</v>
          </cell>
          <cell r="AH166">
            <v>165</v>
          </cell>
          <cell r="AI166">
            <v>197</v>
          </cell>
          <cell r="AJ166">
            <v>455</v>
          </cell>
          <cell r="AK166">
            <v>551</v>
          </cell>
          <cell r="AL166">
            <v>580</v>
          </cell>
          <cell r="AM166">
            <v>505</v>
          </cell>
          <cell r="AN166">
            <v>473</v>
          </cell>
          <cell r="AO166">
            <v>480</v>
          </cell>
          <cell r="AP166">
            <v>507</v>
          </cell>
          <cell r="AQ166">
            <v>198</v>
          </cell>
          <cell r="AR166">
            <v>160</v>
          </cell>
          <cell r="AS166">
            <v>241</v>
          </cell>
          <cell r="AT166">
            <v>210</v>
          </cell>
          <cell r="AU166">
            <v>191</v>
          </cell>
          <cell r="AV166">
            <v>206</v>
          </cell>
          <cell r="AW166">
            <v>202</v>
          </cell>
        </row>
        <row r="167">
          <cell r="B167">
            <v>560707</v>
          </cell>
          <cell r="C167" t="str">
            <v>Vřesová (okres Sokolov)</v>
          </cell>
          <cell r="D167" t="str">
            <v>Vřesová (okres Sokolov)</v>
          </cell>
          <cell r="E167">
            <v>395</v>
          </cell>
          <cell r="F167">
            <v>385</v>
          </cell>
          <cell r="G167">
            <v>421</v>
          </cell>
          <cell r="H167">
            <v>424</v>
          </cell>
          <cell r="I167">
            <v>383</v>
          </cell>
          <cell r="J167">
            <v>409</v>
          </cell>
          <cell r="K167">
            <v>366</v>
          </cell>
          <cell r="L167">
            <v>352</v>
          </cell>
          <cell r="M167">
            <v>341</v>
          </cell>
          <cell r="N167">
            <v>308</v>
          </cell>
          <cell r="O167">
            <v>280</v>
          </cell>
          <cell r="P167">
            <v>386</v>
          </cell>
          <cell r="Q167">
            <v>276</v>
          </cell>
          <cell r="R167">
            <v>273</v>
          </cell>
          <cell r="S167">
            <v>380</v>
          </cell>
          <cell r="T167">
            <v>386</v>
          </cell>
          <cell r="U167">
            <v>388</v>
          </cell>
          <cell r="V167">
            <v>419</v>
          </cell>
          <cell r="W167">
            <v>403</v>
          </cell>
          <cell r="X167">
            <v>410</v>
          </cell>
          <cell r="Y167">
            <v>530</v>
          </cell>
          <cell r="Z167">
            <v>515</v>
          </cell>
          <cell r="AA167">
            <v>509</v>
          </cell>
          <cell r="AB167">
            <v>516</v>
          </cell>
          <cell r="AC167">
            <v>524</v>
          </cell>
          <cell r="AD167">
            <v>494</v>
          </cell>
          <cell r="AE167">
            <v>494</v>
          </cell>
          <cell r="AF167">
            <v>504</v>
          </cell>
          <cell r="AG167">
            <v>430</v>
          </cell>
          <cell r="AH167">
            <v>264</v>
          </cell>
          <cell r="AI167">
            <v>373</v>
          </cell>
          <cell r="AJ167">
            <v>599</v>
          </cell>
          <cell r="AK167">
            <v>601</v>
          </cell>
          <cell r="AL167">
            <v>629</v>
          </cell>
          <cell r="AM167">
            <v>678</v>
          </cell>
          <cell r="AN167">
            <v>766</v>
          </cell>
          <cell r="AO167">
            <v>779</v>
          </cell>
          <cell r="AP167">
            <v>900</v>
          </cell>
          <cell r="AQ167">
            <v>407</v>
          </cell>
          <cell r="AR167">
            <v>162</v>
          </cell>
          <cell r="AS167">
            <v>84</v>
          </cell>
          <cell r="AT167">
            <v>216</v>
          </cell>
          <cell r="AU167">
            <v>196</v>
          </cell>
          <cell r="AV167">
            <v>420</v>
          </cell>
          <cell r="AW167">
            <v>430</v>
          </cell>
        </row>
        <row r="168">
          <cell r="B168">
            <v>578029</v>
          </cell>
          <cell r="C168" t="str">
            <v>Vysoká Pec (okres Karlovy Vary)</v>
          </cell>
          <cell r="D168" t="str">
            <v>Vysoká Pec (okres Karlovy Vary)</v>
          </cell>
          <cell r="E168">
            <v>351</v>
          </cell>
          <cell r="F168">
            <v>349</v>
          </cell>
          <cell r="G168">
            <v>348</v>
          </cell>
          <cell r="H168">
            <v>341</v>
          </cell>
          <cell r="I168">
            <v>372</v>
          </cell>
          <cell r="J168">
            <v>336</v>
          </cell>
          <cell r="K168">
            <v>256</v>
          </cell>
          <cell r="L168">
            <v>245</v>
          </cell>
          <cell r="M168">
            <v>239</v>
          </cell>
          <cell r="N168">
            <v>232</v>
          </cell>
          <cell r="O168">
            <v>229</v>
          </cell>
          <cell r="P168">
            <v>373</v>
          </cell>
          <cell r="Q168">
            <v>226</v>
          </cell>
          <cell r="R168">
            <v>229</v>
          </cell>
          <cell r="S168">
            <v>364</v>
          </cell>
          <cell r="T168">
            <v>358</v>
          </cell>
          <cell r="U168">
            <v>361</v>
          </cell>
          <cell r="V168">
            <v>349</v>
          </cell>
          <cell r="W168">
            <v>341</v>
          </cell>
          <cell r="X168">
            <v>339</v>
          </cell>
          <cell r="Y168">
            <v>345</v>
          </cell>
          <cell r="Z168">
            <v>332</v>
          </cell>
          <cell r="AA168">
            <v>314</v>
          </cell>
          <cell r="AB168">
            <v>303</v>
          </cell>
          <cell r="AC168">
            <v>297</v>
          </cell>
          <cell r="AD168">
            <v>289</v>
          </cell>
          <cell r="AE168">
            <v>286</v>
          </cell>
          <cell r="AF168">
            <v>276</v>
          </cell>
          <cell r="AG168">
            <v>273</v>
          </cell>
          <cell r="AH168">
            <v>260</v>
          </cell>
          <cell r="AI168">
            <v>256</v>
          </cell>
          <cell r="AJ168">
            <v>2309</v>
          </cell>
          <cell r="AK168">
            <v>2285</v>
          </cell>
          <cell r="AL168">
            <v>2265</v>
          </cell>
          <cell r="AM168">
            <v>2252</v>
          </cell>
          <cell r="AN168">
            <v>2344</v>
          </cell>
          <cell r="AO168">
            <v>2137</v>
          </cell>
          <cell r="AP168">
            <v>2186</v>
          </cell>
          <cell r="AQ168">
            <v>343</v>
          </cell>
          <cell r="AR168">
            <v>339</v>
          </cell>
          <cell r="AS168">
            <v>307</v>
          </cell>
          <cell r="AT168">
            <v>258</v>
          </cell>
          <cell r="AU168">
            <v>227</v>
          </cell>
          <cell r="AV168">
            <v>349</v>
          </cell>
          <cell r="AW168">
            <v>340</v>
          </cell>
        </row>
        <row r="169">
          <cell r="B169">
            <v>539431</v>
          </cell>
          <cell r="C169" t="str">
            <v>Zádub-Závišín (okres Cheb)</v>
          </cell>
          <cell r="D169" t="str">
            <v>Zádub-Závišín (okres Cheb)</v>
          </cell>
          <cell r="E169">
            <v>334</v>
          </cell>
          <cell r="F169">
            <v>338</v>
          </cell>
          <cell r="G169">
            <v>487</v>
          </cell>
          <cell r="H169">
            <v>396</v>
          </cell>
          <cell r="I169">
            <v>338</v>
          </cell>
          <cell r="J169">
            <v>337</v>
          </cell>
          <cell r="K169">
            <v>269</v>
          </cell>
          <cell r="L169">
            <v>254</v>
          </cell>
          <cell r="M169">
            <v>258</v>
          </cell>
          <cell r="N169">
            <v>269</v>
          </cell>
          <cell r="O169">
            <v>263</v>
          </cell>
          <cell r="P169">
            <v>340</v>
          </cell>
          <cell r="Q169">
            <v>259</v>
          </cell>
          <cell r="R169">
            <v>254</v>
          </cell>
          <cell r="S169">
            <v>341</v>
          </cell>
          <cell r="T169">
            <v>332</v>
          </cell>
          <cell r="U169">
            <v>334</v>
          </cell>
          <cell r="V169">
            <v>339</v>
          </cell>
          <cell r="W169">
            <v>336</v>
          </cell>
          <cell r="X169">
            <v>330</v>
          </cell>
          <cell r="Y169">
            <v>320</v>
          </cell>
          <cell r="Z169">
            <v>310</v>
          </cell>
          <cell r="AA169">
            <v>296</v>
          </cell>
          <cell r="AB169">
            <v>293</v>
          </cell>
          <cell r="AC169">
            <v>282</v>
          </cell>
          <cell r="AD169">
            <v>273</v>
          </cell>
          <cell r="AE169">
            <v>271</v>
          </cell>
          <cell r="AF169">
            <v>269</v>
          </cell>
          <cell r="AG169">
            <v>266</v>
          </cell>
          <cell r="AH169">
            <v>254</v>
          </cell>
          <cell r="AI169">
            <v>269</v>
          </cell>
          <cell r="AJ169">
            <v>599</v>
          </cell>
          <cell r="AK169">
            <v>737</v>
          </cell>
          <cell r="AL169">
            <v>814</v>
          </cell>
          <cell r="AM169">
            <v>897</v>
          </cell>
          <cell r="AN169">
            <v>1114</v>
          </cell>
          <cell r="AO169">
            <v>949</v>
          </cell>
          <cell r="AP169">
            <v>1052</v>
          </cell>
          <cell r="AQ169">
            <v>515</v>
          </cell>
          <cell r="AR169">
            <v>413</v>
          </cell>
          <cell r="AS169">
            <v>328</v>
          </cell>
          <cell r="AT169">
            <v>277</v>
          </cell>
          <cell r="AU169">
            <v>257</v>
          </cell>
          <cell r="AV169">
            <v>495</v>
          </cell>
          <cell r="AW169">
            <v>430</v>
          </cell>
        </row>
        <row r="170">
          <cell r="B170">
            <v>555762</v>
          </cell>
          <cell r="C170" t="str">
            <v>Žlutice (okres Karlovy Vary)</v>
          </cell>
          <cell r="D170" t="str">
            <v>Žlutice (okres Karlovy Vary)</v>
          </cell>
          <cell r="E170">
            <v>2249</v>
          </cell>
          <cell r="F170">
            <v>2293</v>
          </cell>
          <cell r="G170">
            <v>2202</v>
          </cell>
          <cell r="H170">
            <v>2223</v>
          </cell>
          <cell r="I170">
            <v>2305</v>
          </cell>
          <cell r="J170">
            <v>2195</v>
          </cell>
          <cell r="K170">
            <v>2966</v>
          </cell>
          <cell r="L170">
            <v>2956</v>
          </cell>
          <cell r="M170">
            <v>2956</v>
          </cell>
          <cell r="N170">
            <v>2982</v>
          </cell>
          <cell r="O170">
            <v>2982</v>
          </cell>
          <cell r="P170">
            <v>2356</v>
          </cell>
          <cell r="Q170">
            <v>2978</v>
          </cell>
          <cell r="R170">
            <v>2964</v>
          </cell>
          <cell r="S170">
            <v>2372</v>
          </cell>
          <cell r="T170">
            <v>2400</v>
          </cell>
          <cell r="U170">
            <v>2452</v>
          </cell>
          <cell r="V170">
            <v>2484</v>
          </cell>
          <cell r="W170">
            <v>2521</v>
          </cell>
          <cell r="X170">
            <v>2575</v>
          </cell>
          <cell r="Y170">
            <v>2596</v>
          </cell>
          <cell r="Z170">
            <v>2634</v>
          </cell>
          <cell r="AA170">
            <v>2670</v>
          </cell>
          <cell r="AB170">
            <v>2653</v>
          </cell>
          <cell r="AC170">
            <v>2701</v>
          </cell>
          <cell r="AD170">
            <v>2742</v>
          </cell>
          <cell r="AE170">
            <v>2775</v>
          </cell>
          <cell r="AF170">
            <v>2817</v>
          </cell>
          <cell r="AG170">
            <v>2813</v>
          </cell>
          <cell r="AH170">
            <v>2842</v>
          </cell>
          <cell r="AI170">
            <v>2938</v>
          </cell>
          <cell r="AJ170">
            <v>3443</v>
          </cell>
          <cell r="AK170">
            <v>3460</v>
          </cell>
          <cell r="AL170">
            <v>3376</v>
          </cell>
          <cell r="AM170">
            <v>3280</v>
          </cell>
          <cell r="AN170">
            <v>3307</v>
          </cell>
          <cell r="AO170">
            <v>3524</v>
          </cell>
          <cell r="AP170">
            <v>3493</v>
          </cell>
          <cell r="AQ170">
            <v>1899</v>
          </cell>
          <cell r="AR170">
            <v>2064</v>
          </cell>
          <cell r="AS170">
            <v>2195</v>
          </cell>
          <cell r="AT170">
            <v>2532</v>
          </cell>
          <cell r="AU170">
            <v>2802</v>
          </cell>
          <cell r="AV170">
            <v>2187</v>
          </cell>
          <cell r="AW170">
            <v>2153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r Bek" refreshedDate="46273.545735648149" createdVersion="8" refreshedVersion="8" minRefreshableVersion="3" recordCount="276" xr:uid="{ECFCCFD3-CD4C-4E71-AE99-A7A6B08B04DE}">
  <cacheSource type="worksheet">
    <worksheetSource ref="A4:W280" sheet="Seznam sídel škol v KVK"/>
  </cacheSource>
  <cacheFields count="23">
    <cacheField name="Identifikační číslo organizace" numFmtId="0">
      <sharedItems containsSemiMixedTypes="0" containsString="0" containsNumber="1" containsInteger="1" minValue="76899" maxValue="75059151"/>
    </cacheField>
    <cacheField name="Název zařízení" numFmtId="0">
      <sharedItems count="275">
        <s v="Mateřská škola Krásná, příspěvková organizace"/>
        <s v="Mateřská škola Hranice, okres Cheb"/>
        <s v="Základní škola Hranice, okres Cheb"/>
        <s v="Základní škola a mateřská škola Aš, Okružní 57, okres Cheb, příspěvková organizace"/>
        <s v="Základní škola a střední škola Aš, příspěvková organizace"/>
        <s v="Základní umělecká škola Roberta Schumanna Aš"/>
        <s v="Mateřská škola Aš, Moravská 10, okres Cheb"/>
        <s v="Základní škola Aš, Kamenná 152, okres Cheb"/>
        <s v="Mateřská škola Aš, Neumannova 2560, okres Cheb, příspěvková organizace"/>
        <s v="Zařízení školního stravování Aš, příspěvková organizace"/>
        <s v="Městský dům dětí a mládeže Sluníčko Aš"/>
        <s v="Mateřská škola Aš, Nohova 2201, okres Cheb"/>
        <s v="Základní škola Aš, Hlávkova 26, okres Cheb"/>
        <s v="Základní škola a mateřská škola Libá, okres Cheb, příspěvková organizace"/>
        <s v="Základní škola a mateřská škola Hazlov, okres Cheb, příspěvková organizace"/>
        <s v="Základní škola Františkovy Lázně, Česká 39/1"/>
        <s v="Dům dětí a mládeže a školní družina Františkovy Lázně"/>
        <s v="Mateřská škola Pramínky"/>
        <s v="Základní škola a mateřská škola Plesná, příspěvková organizace"/>
        <s v="Mateřská škola Františkovy Lázně, Školní 182"/>
        <s v="Základní umělecká škola Járy Cimrmana Františkovy Lázně"/>
        <s v="Mateřská škola Cheb, Do Zátiší 3, příspěvková organizace"/>
        <s v="1. základní škola Cheb, Americká 36, příspěvková organizace"/>
        <s v="Dům dětí a mládeže Sova Cheb, Goethova 26, příspěvková organizace"/>
        <s v="Základní škola Skalná, příspěvková organizace"/>
        <s v="Mateřská škola Skalná, příspěvková organizace"/>
        <s v="4. základní škola Cheb, Hradební 14, příspěvková organizace"/>
        <s v="Základní umělecká škola Jindřicha Jindřicha Cheb, Židovská 8, příspěvková organizace"/>
        <s v="2. základní škola Cheb, Májová 14, příspěvková organizace"/>
        <s v="Mateřská škola Cheb, 26. dubna 39, příspěvková organizace"/>
        <s v="Základní škola Cheb, Kostelní náměstí 14, příspěvková organizace"/>
        <s v="Mateřská škola Cheb, Osvobození 67, příspěvková organizace"/>
        <s v="5. základní škola Cheb, Matěje Kopeckého 1, příspěvková organizace"/>
        <s v="Mateřská škola Cheb, Komenského 27, příspěvková organizace"/>
        <s v="3. základní škola Cheb, Malé náměstí 3, příspěvková organizace"/>
        <s v="6. základní škola Cheb, Obětí nacismu 16, příspěvková organizace"/>
        <s v="Mateřská škola Cheb, Malé náměstí 2, příspěvková organizace"/>
        <s v="Mateřská škola Cheb, Bezručova 1, příspěvková organizace"/>
        <s v="Mateřská škola Luby, okres Cheb, příspěvková organizace"/>
        <s v="Dům dětí a mládeže a školní družina Luby, příspěvková organizace"/>
        <s v="Mateřská škola, Třebeň, okres Cheb"/>
        <s v="Základní umělecká škola Luby, okres Cheb, příspěvková organizace"/>
        <s v="Základní škola Luby, okres Cheb, příspěvková organizace"/>
        <s v="Základní škola a mateřská škola Nový Kostel, okres Cheb, příspěvková organizace"/>
        <s v="Základní škola a mateřská škola Lipová, okres Cheb"/>
        <s v="Základní škola a mateřská škola Milhostov, okres Cheb"/>
        <s v="Mateřská škola Okrouhlá"/>
        <s v="Mateřská škola Kraslice, Barvířská 1771, příspěvková organizace"/>
        <s v="Základní škola Kraslice, Opletalova 1121, příspěvková organizace"/>
        <s v="Mateřská škola Kraslice, Boženy Němcové 1685, příspěvková organizace"/>
        <s v="Základní umělecká škola Kraslice, příspěvková organizace"/>
        <s v="Mateřská škola Kraslice, Lipová cesta 1091, příspěvková organizace"/>
        <s v="Střední škola, základní škola a mateřská škola Kraslice, příspěvková organizace"/>
        <s v="Základní škola Kraslice, Dukelská 1122, příspěvková organizace"/>
        <s v="Dům dětí a mládeže Kraslice, příspěvková organizace"/>
        <s v="Mateřská škola Kraslice, U Elektrárny 1777, příspěvková organizace"/>
        <s v="Základní umělecká škola Kynšperk nad Ohří, okres Sokolov, příspěvková organizace"/>
        <s v="Mateřská škola Kynšperk nad Ohří, U Pivovaru 367, okres Sokolov, příspěvková organizace"/>
        <s v="Základní škola Kynšperk nad Ohří, okres Sokolov, příspěvková organizace"/>
        <s v="Mateřská škola Kynšperk, Zahradní 385, okres Sokolov, příspěvková organizace"/>
        <s v="Základní škola a mateřská škola Krajková, příspěvková organizace"/>
        <s v="Mateřská škola Duhová Habartov, okres Sokolov, příspěvková organizace"/>
        <s v="Základní škola Habartov, Karla Čapka 119, okres Sokolov"/>
        <s v="Základní umělecká škola Habartov, okres Sokolov, příspěvková organizace"/>
        <s v="Mateřská škola Habartov, Okružní 111, okres Sokolov"/>
        <s v="Základní škola a mateřská škola Dolní Žandov, okres Cheb, příspěvková organizace"/>
        <s v="Základní škola a mateřská škola Libavské Údolí, okres Sokolov"/>
        <s v="Základní škola a mateřská škola Rotava, příspěvková organizace"/>
        <s v="Základní škola a mateřská škola Oloví, příspěvková organizace"/>
        <s v="Základní škola Bukovany, okres Sokolov"/>
        <s v="Mateřská škola Bukovany, okres Sokolov"/>
        <s v="Mateřská škola Šabina, okres Sokolov"/>
        <s v="Základní škola a Mateřská škola Stará Voda, okres Cheb, příspěvková organizace"/>
        <s v="Základní škola a mateřská škola Jindřichovice, příspěvková organizace"/>
        <s v="Základní škola a mateřská škola Tři Sekery, okres Cheb, příspěvková organizace"/>
        <s v="Mateřská škola Citice, příspěvková organizace"/>
        <s v="Základní škola a mateřská škola Lázně Kynžvart, okres Cheb, příspěvková organizace"/>
        <s v="Mateřská škola Lomnice, okres Sokolov, příspěvková organizace"/>
        <s v="Základní škola Lomnice, okres Sokolov, příspěvková organizace"/>
        <s v="Základní umělecká škola Sokolov, Staré náměstí 37"/>
        <s v="Mateřská škola Sokolov, Vrchlického 80"/>
        <s v="Základní škola Sokolov, Rokycanova 258"/>
        <s v="Mateřská škola Březová, Komenského 11, okres Sokolov"/>
        <s v="Mateřská škola Dolní Rychnov, okres Sokolov"/>
        <s v="Mateřská škola Sokolov, Vítězná 725"/>
        <s v="Základní škola Březová, okres Sokolov"/>
        <s v="Základní škola Sokolov, Pionýrů 1614"/>
        <s v="Základní škola Sokolov, Běžecká 2055"/>
        <s v="Mateřská škola Březová, Smetanova 218, okres Sokolov"/>
        <s v="Mateřská škola Sokolov, Pionýrů 1344"/>
        <s v="Mateřská škola Sokolov, Karla Havlíčka Borovského 1527"/>
        <s v="Dům dětí a mládeže, Sokolov, Spartakiádní 1937, příspěvková organizace"/>
        <s v="Základní škola a Mateřská škola Drmoul, okres Cheb, příspěvková organizace"/>
        <s v="Základní škola Sokolov, Křižíkova 1916"/>
        <s v="Základní škola Velká Hleďsebe, okres Cheb, příspěvková organizace"/>
        <s v="Mateřská škola Sokolov, Kosmonautů 1881"/>
        <s v="Základní škola a mateřská škola Rovná, okres Sokolov, příspěvková organizace"/>
        <s v="Mateřská škola Sokolov, Marie Majerové 1650"/>
        <s v="Základní škola Sokolov, Švabinského 1702"/>
        <s v="Základní škola Královské Poříčí, okres Sokolov"/>
        <s v="Mateřská škola Sokolov, Alšova 1746"/>
        <s v="Mateřská škola Velká Hleďsebe, okres Cheb, příspěvková organizace"/>
        <s v="Mateřská škola Klimentov, okres Cheb, příspěvková organizace"/>
        <s v="Mateřská škola Královské Poříčí, okres Sokolov"/>
        <s v="Mateřská škola Trstěnice, okres Cheb, příspěvková organizace"/>
        <s v="Základní škola Vítězství Mariánské Lázně, příspěvková organizace"/>
        <s v="Mateřská škola, Mariánské Lázně, Na Třešňovce 603, příspěvková organizace"/>
        <s v="Základní škola JIH, Mariánské Lázně, Komenského 459, příspěvková organizace"/>
        <s v="Základní umělecká škola Fryderyka Chopina, Mariánské Lázně, příspěvková organizace"/>
        <s v="Mateřská škola Vora, Mariánské Lázně, Za Tratí 687, příspěvková organizace"/>
        <s v="Mateřská škola, Mariánské Lázně, Hlavní 440, příspěvková organizace"/>
        <s v="Mateřská škola, Mariánské Lázně, Křižíkova 555, příspěvková organizace"/>
        <s v="Základní škola Úšovice, Mariánské Lázně, Školní náměstí 472, příspěvková organizace"/>
        <s v="Městský dům dětí a mládeže, Mariánské Lázně, 17. listopadu 475, příspěvková organizace"/>
        <s v="Mateřská škola Úšovice, Mariánské Lázně, Skalníkova 518, příspěvková organizace"/>
        <s v="Mateřská škola Staré Sedlo, okres Sokolov"/>
        <s v="Základní škola Vintířov, okres Sokolov"/>
        <s v="Mateřská škola Vintířov, okres Sokolov"/>
        <s v="Mateřská škola Nejdek, Husova, příspěvková organizace"/>
        <s v="Mateřská škola Nejdek, Závodu míru, příspěvková organizace"/>
        <s v="Základní škola Nejdek, náměstí Karla IV., příspěvková organizace"/>
        <s v="Základní umělecká škola Nejdek, Dvořákova, příspěvková organizace"/>
        <s v="Mateřská škola Nejdek, Nerudova, příspěvková organizace"/>
        <s v="Základní škola a mateřská škola Potůčky, okres Karlovy Vary"/>
        <s v="Základní škola Nové Sedlo, okres Sokolov, příspěvková organizace"/>
        <s v="Mateřská škola Loket, okres Sokolov"/>
        <s v="Mateřská škola Nové Sedlo, Sklářská 510"/>
        <s v="Základní škola Chodov, Školní 697, okres Sokolov, příspěvková organizace"/>
        <s v="3. základní škola Chodov, okres Sokolov, příspěvková organizace"/>
        <s v="Mateřská škola Nejdek, Lipová, příspěvková organizace"/>
        <s v="Mateřská škola Chodov, okres Sokolov, příspěvková organizace"/>
        <s v="Dům dětí a mládeže Bludiště, Chodov, okres Sokolov, příspěvková organizace"/>
        <s v="Základní škola Nejdek, Karlovarská, příspěvková organizace"/>
        <s v="Základní škola J. A. Komenského Chodov, Smetanova 738, okres Sokolov, příspěvková organizace"/>
        <s v="Základní umělecká škola Chodov, okres Sokolov, příspěvková organizace"/>
        <s v="Lyceum Avantech - střední odborná škola, příspěvková organizace"/>
        <s v="Základní škola Loket, okres Sokolov"/>
        <s v="Základní škola a mateřská škola Božičany, okres Karlovy Vary, příspěvková organizace"/>
        <s v="Základní škola a mateřská škola Horní Blatná, okres Karlovy Vary"/>
        <s v="Základní škola Nová Role, příspěvková organizace"/>
        <s v="Dům dětí a mládeže Nová Role, příspěvková organizace"/>
        <s v="Základní umělecká škola Nová Role, příspěvková organizace"/>
        <s v="Základní škola a mateřská škola Pernink, příspěvková organizace"/>
        <s v="Mateřská škola Cestička Nová Role, příspěvková organizace"/>
        <s v="Mateřská škola Krásno, okres Sokolov, příspěvková organizace"/>
        <s v="Základní škola Horní Slavkov, Školní 786, příspěvková organizace"/>
        <s v="Mateřská škola Horní Slavkov, Sportovní 713, příspěvková organizace"/>
        <s v="Dům dětí a mládeže a školní družina Horní Slavkov, příspěvková organizace"/>
        <s v="Mateřská škola Horní Slavkov, Dlouhá 620/1, příspěvková organizace"/>
        <s v="Základní škola Horní Slavkov, Nádražní 683, příspěvková organizace"/>
        <s v="Základní umělecká škola Horní Slavkov, příspěvková organizace"/>
        <s v="Základní škola a mateřská škola Abertamy, okres Karlovy Vary"/>
        <s v="Mateřská škola Šikulka Nová Role, příspěvková organizace"/>
        <s v="1. Mateřská škola Karlovy Vary, Komenského 7, příspěvková organizace"/>
        <s v="Základní škola Karlovy Vary, Truhlářská 19, příspěvková organizace"/>
        <s v="Základní škola Karlovy Vary, 1. máje 1, příspěvková organizace"/>
        <s v="Základní škola a mateřská škola Bečov nad Teplou, okres Karlovy Vary, příspěvková organizace"/>
        <s v="Dům dětí a mládeže Karlovy Vary, Čankovská 9, příspěvková organizace"/>
        <s v="Základní škola Karlovy Vary, Konečná 25, příspěvková organizace"/>
        <s v="Základní škola Karlovy Vary, Poštovní 19, příspěvková organizace"/>
        <s v="Základní škola a Základní umělecká škola Karlovy Vary, Šmeralova 336/15, příspěvková organizace"/>
        <s v="Základní škola Merklín, okres Karlovy Vary"/>
        <s v="Mateřská škola Merklín, okres Karlovy Vary"/>
        <s v="Základní umělecká škola Antonína Dvořáka, Karlovy Vary, Šmeralova 32, příspěvková organizace"/>
        <s v="Základní škola Dukelských hrdinů Karlovy Vary, Moskevská 25, příspěvková organizace"/>
        <s v="Základní škola Karlovy Vary, Krušnohorská 11, příspěvková organizace"/>
        <s v="2. Mateřská škola Karlovy Vary, Krušnohorská 16, příspěvková organizace"/>
        <s v="Základní škola v Teplé, příspěvková organizace"/>
        <s v="Mateřská škola Březová, okres Karlovy Vary, příspěvková organizace"/>
        <s v="Základní umělecká škola Teplá, příspěvková organizace"/>
        <s v="Mateřská škola Teplá, příspěvková organizace"/>
        <s v="Základní škola Hroznětín, okres Karlovy Vary"/>
        <s v="Mateřská škola Hroznětín, okres Karlovy Vary"/>
        <s v="Základní škola pro žáky se specifickými poruchami učení Karlovy Vary, příspěvková organizace"/>
        <s v="Základní škola Jana Amose Komenského, Karlovy Vary, Kollárova 19, příspěvková organizace"/>
        <s v="Základní škola jazyků Karlovy Vary, příspěvková organizace"/>
        <s v="Základní škola a mateřská škola Dalovice, okr. K. Vary, příspěvková organizace"/>
        <s v="Základní škola Kolová, okres Karlovy Vary, příspěvková organizace"/>
        <s v="Mateřská škola Krásné Údolí, okres Karlovy Vary, příspěvková organizace"/>
        <s v="Základní škola Marie Curie-Sklodowské a mateřská škola Jáchymov, příspěvková organizace"/>
        <s v="Městský dům dětí a mládeže Ostrov, příspěvková organizace"/>
        <s v="Základní škola Ostrov, Masarykova 1289, příspěvková organizace"/>
        <s v="Základní umělecká škola Ostrov, příspěvková organizace"/>
        <s v="Mateřská škola Ostrov, Halasova 765, příspěvková organizace"/>
        <s v="Mateřská škola Ostrov, Masarykova 1195, příspěvková organizace"/>
        <s v="Mateřská škola Ostrov, Palackého 1045, příspěvková organizace"/>
        <s v="Základní škola Ostrov, Májová 997, příspěvková organizace"/>
        <s v="Mateřská škola Ostrov, Krušnohorská 766, příspěvková organizace"/>
        <s v="Základní škola a Mateřská škola Ostrov, Myslbekova 996, příspěvková organizace"/>
        <s v="Základní škola a mateřská škola Útvina, okres Karlovy Vary, příspěvková organizace"/>
        <s v="Mateřská škola Šemnice, okres Karlovy Vary"/>
        <s v="Mateřská škola Sídliště 429, Toužim"/>
        <s v="Základní škola a mateřská škola Toužim, příspěvková organizace"/>
        <s v="Základní umělecká škola"/>
        <s v="Základní škola Toužim, příspěvková organizace"/>
        <s v="Základní škola a mateřská škola Kyselka, okres Karlovy Vary, příspěvková organizace"/>
        <s v="Mateřská škola Stružná, okres Karlovy Vary"/>
        <s v="Mateřská škola Velichov, okres Karlovy Vary"/>
        <s v="Mateřská škola Jakubov, okres Karlovy Vary"/>
        <s v="Základní škola Bochov, okres Karlovy Vary"/>
        <s v="Mateřská škola Bochov, okres Karlovy Vary"/>
        <s v="Mateřská škola Stráž nad Ohří, okres Karlovy Vary"/>
        <s v="Základní škola a Mateřská škola Štědrá, okres Karlovy Vary příspěvková organizace"/>
        <s v="Základní škola a základní umělecká škola Žlutice, příspěvková organizace"/>
        <s v="Mateřská škola Žlutice"/>
        <s v="Základní škola a mateřská škola Chyše, okres Karlovy Vary"/>
        <s v="Základní škola a mateřská škola Valeč, okres Karlovy Vary, příspěvková organizace"/>
        <s v="Základní škola a mateřská škola Svatava, příspěvková organizace"/>
        <s v="Gymnázium Aš, příspěvková organizace"/>
        <s v="Dětský domov Cheb a Horní Slavkov, příspěvková organizace"/>
        <s v="Gymnázium Cheb, příspěvková organizace"/>
        <s v="Integrovaná střední škola Cheb, příspěvková organizace"/>
        <s v="Střední zdravotnická škola a vyšší odborná škola Cheb, příspěvková organizace"/>
        <s v="Školní statek a krajské středisko ekologické výchovy Cheb, příspěvková organizace"/>
        <s v="Gymnázium Sokolov a Krajské vzdělávací centrum, příspěvková organizace"/>
        <s v="Střední škola živnostenská Sokolov, příspěvková organizace"/>
        <s v="Integrovaná střední škola technická a ekonomická Sokolov, příspěvková organizace"/>
        <s v="Hotelová škola Mariánské Lázně, příspěvková organizace"/>
        <s v="Gymnázium a obchodní akademie Mariánské Lázně, příspěvková organizace"/>
        <s v="Domov mládeže a školní jídelna Mariánské Lázně, příspěvková organizace"/>
        <s v="Dětský domov Mariánské Lázně a Aš, příspěvková organizace"/>
        <s v="Základní škola a střední škola Karlovy Vary, příspěvková organizace"/>
        <s v="Základní umělecká škola Josefa Labitzkého Bečov nad Teplou, příspěvková organizace"/>
        <s v="Střední uměleckoprůmyslová škola keramická a sklářská Karlovy Vary, příspěvková organizace"/>
        <s v="Obchodní akademie, vyšší odborná škola cestovního ruchu a jazyková škola s právem státní jazykové zkoušky Karlovy Vary, příspěvková organizace"/>
        <s v="Základní škola a mateřská škola při zdravotnických zařízeních Karlovy Vary, příspěvková organizace"/>
        <s v="Střední zdravotnická škola a vyšší odborná škola zdravotnická Karlovy Vary, příspěvková organizace"/>
        <s v="Střední škola stravování a služeb Karlovy Vary, příspěvková organizace"/>
        <s v="Střední odborná škola stavební Karlovy Vary, příspěvková organizace"/>
        <s v="První české gymnázium v Karlových Varech, příspěvková organizace"/>
        <s v="Pedagogicko-psychologická poradna Karlovy Vary, příspěvková organizace"/>
        <s v="Domov mládeže a školní jídelna Karlovy Vary, příspěvková organizace"/>
        <s v="Bazén Karlovy Vary, příspěvková organizace"/>
        <s v="Střední pedagogická škola, gymnázium a vyšší odborná škola Karlovy Vary, příspěvková organizace"/>
        <s v="Střední škola logistická Dalovice, příspěvková organizace"/>
        <s v="Dětský domov Karlovy Vary a Ostrov, příspěvková organizace"/>
        <s v="Základní škola Ostrov, příspěvková organizace"/>
        <s v="Střední průmyslová škola Ostrov, příspěvková organizace"/>
        <s v="Gymnázium Ostrov, příspěvková organizace"/>
        <s v="Střední lesnická škola Žlutice, příspěvková organizace"/>
        <s v="Dětský domov se školou, základní škola a školní jídelna Žlutice, Jiráskova 344"/>
        <s v="Střední škola Euroinstitut v Karlovarském kraji"/>
        <s v="NEOnová základní škola"/>
        <s v="Lesní mateřská škola Pod Lipami, z. s."/>
        <s v="Waldorfská základní škola a mateřská škola Cheb"/>
        <s v="Svobodná chebská škola, základní škola a gymnázium s.r.o."/>
        <s v="Mateřská škola Diakonie ČCE Cheb"/>
        <s v="Vyšší policejní škola a Střední policejní škola Ministerstva vnitra v Praze (pracoviště Sokolov)"/>
        <s v="Škola Vila, základní škola"/>
        <s v="SOKOREST - zařízení školního stravování, s.r.o."/>
        <s v="Vojenská střední škola a Vyšší odborná škola Ministerstva obrany v Moravské Třebové (pracoviště Sokolov)"/>
        <s v="Soukromá obchodní akademie Sokolov, s.r.o."/>
        <s v="ŠMP Carolina základní škola s.r.o."/>
        <s v="Škola Můj Projekt Mánesova - Gymnázium, základní škola a mateřská škola s.r.o."/>
        <s v="MATEŘSKÁ ŠKOLA PRAMÍNEK, v.o.s."/>
        <s v="Základní škola a lesní mateřská škola Čtyřlístek"/>
        <s v="JEZDECKÁ AKADEMIE - střední odborná škola Mariánské Lázně s.r.o."/>
        <s v="Montessori základní škola a mateřská škola ELIPSA, o.p.s."/>
        <s v="Lesní mateřská škola Svatošky z.s."/>
        <s v="Základní škola, mateřská škola a dětské jesle Moudrá sova s.r.o."/>
        <s v="Waldorfská základní škola a mateřská škola Wlaštovka Karlovy Vary o.p.s."/>
        <s v="Veselá věda, středisko volného času Západní Čechy s.r.o."/>
        <s v="Střední odborná škola Karlovy Vary, s.r.o."/>
        <s v="Základní škola a mateřská škola Regionu Karlovarský venkov"/>
        <s v="TRIVIS - Střední škola veřejnoprávní Karlovy Vary, s.r.o."/>
        <s v="Soukromá mateřská škola Benedikt s.r.o."/>
        <s v="Středisko praktického vyučování GRANDHOTEL PUPP o.p.s."/>
        <s v="Soukromá obchodní akademie Podnikatel, spol. s r.o."/>
        <s v="Carlsbad Montessori School, základní škola, s.r.o."/>
        <s v="Západočeská univerzita v Plzni, Fakulta ekonomická"/>
        <s v="Západočeská univerzita v Plzni, Fakulta pedagogická"/>
        <s v="Česká zemědělská univerzita v Praze, Fakulta životního prostředí"/>
        <s v="Vysoká škola finanční a správní, a.s."/>
        <s v="Vysoká škola zdravotnická, o. p. s."/>
        <s v="VÝCHOVNÝ ÚSTAV, DĚTSKÝ DOMOV SE ŠKOLOU, STŘEDISKO VÝCHOVNÉ PÉČE, ZÁKLADNÍ ŠKOLA A STŘEDNÍ ŠKOLA BUŠKOVICE - pracoviště Toužim"/>
      </sharedItems>
    </cacheField>
    <cacheField name="Právní forma" numFmtId="0">
      <sharedItems containsBlank="1"/>
    </cacheField>
    <cacheField name="Typ vlastnictví" numFmtId="0">
      <sharedItems/>
    </cacheField>
    <cacheField name="Specifikace vlastnictví" numFmtId="0">
      <sharedItems/>
    </cacheField>
    <cacheField name="Mateřská škola" numFmtId="0">
      <sharedItems count="2">
        <s v="ano"/>
        <s v="ne"/>
      </sharedItems>
    </cacheField>
    <cacheField name="Základní škola" numFmtId="0">
      <sharedItems count="2">
        <s v="ne"/>
        <s v="ano"/>
      </sharedItems>
    </cacheField>
    <cacheField name="Střední škola" numFmtId="0">
      <sharedItems count="2">
        <s v="ne"/>
        <s v="ano"/>
      </sharedItems>
    </cacheField>
    <cacheField name="Vyšší odborná škola" numFmtId="0">
      <sharedItems count="2">
        <s v="ne"/>
        <s v="ano"/>
      </sharedItems>
    </cacheField>
    <cacheField name="Pobočka vysoké školy" numFmtId="0">
      <sharedItems/>
    </cacheField>
    <cacheField name="Základní umělecká škola" numFmtId="0">
      <sharedItems/>
    </cacheField>
    <cacheField name="Dům dětí a mládeže" numFmtId="0">
      <sharedItems/>
    </cacheField>
    <cacheField name="Ostatní" numFmtId="0">
      <sharedItems/>
    </cacheField>
    <cacheField name="Adresa místa výkonu činnosti" numFmtId="0">
      <sharedItems/>
    </cacheField>
    <cacheField name="Kód obce" numFmtId="0">
      <sharedItems containsSemiMixedTypes="0" containsString="0" containsNumber="1" containsInteger="1" minValue="537870" maxValue="560685"/>
    </cacheField>
    <cacheField name="Název obce" numFmtId="0">
      <sharedItems count="73">
        <s v="Krásná"/>
        <s v="Hranice"/>
        <s v="Aš"/>
        <s v="Libá"/>
        <s v="Hazlov"/>
        <s v="Františkovy Lázně"/>
        <s v="Plesná"/>
        <s v="Cheb"/>
        <s v="Skalná"/>
        <s v="Luby"/>
        <s v="Nový Kostel"/>
        <s v="Lipová"/>
        <s v="Milhostov"/>
        <s v="Kraslice"/>
        <s v="Kynšperk nad Ohří"/>
        <s v="Krajková"/>
        <s v="Habartov"/>
        <s v="Dolní Žandov"/>
        <s v="Rotava"/>
        <s v="Oloví"/>
        <s v="Bukovany"/>
        <s v="Sokolov"/>
        <s v="Stará Voda"/>
        <s v="Jindřichovice"/>
        <s v="Tři Sekery"/>
        <s v="Citice"/>
        <s v="Lázně Kynžvart"/>
        <s v="Lomnice"/>
        <s v="Březová"/>
        <s v="Dolní Rychnov"/>
        <s v="Drmoul"/>
        <s v="Velká Hleďsebe"/>
        <s v="Rovná"/>
        <s v="Královské Poříčí"/>
        <s v="Trstěnice"/>
        <s v="Mariánské Lázně"/>
        <s v="Staré Sedlo"/>
        <s v="Vintířov"/>
        <s v="Nejdek"/>
        <s v="Potůčky"/>
        <s v="Nové Sedlo"/>
        <s v="Loket"/>
        <s v="Chodov"/>
        <s v="Božičany"/>
        <s v="Horní Blatná"/>
        <s v="Nová Role"/>
        <s v="Pernink"/>
        <s v="Krásno"/>
        <s v="Horní Slavkov"/>
        <s v="Abertamy"/>
        <s v="Karlovy Vary"/>
        <s v="Bečov nad Teplou"/>
        <s v="Merklín"/>
        <s v="Teplá"/>
        <s v="Březová u Karlových Varů"/>
        <s v="Hroznětín"/>
        <s v="Dalovice"/>
        <s v="Kolová"/>
        <s v="Krásné Údolí"/>
        <s v="Jáchymov"/>
        <s v="Ostrov"/>
        <s v="Toužim"/>
        <s v="Kyselka"/>
        <s v="Stružná"/>
        <s v="Vojkovice"/>
        <s v="Bochov"/>
        <s v="Stráž nad Ohří"/>
        <s v="Štědrá"/>
        <s v="Žlutice"/>
        <s v="Chyše"/>
        <s v="Valeč"/>
        <s v="Svatava"/>
        <s v="Sadov"/>
      </sharedItems>
    </cacheField>
    <cacheField name="Zeměpisná délka v souřadnicovém systému WGS84" numFmtId="0">
      <sharedItems containsBlank="1"/>
    </cacheField>
    <cacheField name="Zeměpisná šířka v souřadnicovém systému WGS84" numFmtId="0">
      <sharedItems containsBlank="1"/>
    </cacheField>
    <cacheField name="Telefonní kontakt" numFmtId="0">
      <sharedItems containsSemiMixedTypes="0" containsString="0" containsNumber="1" containsInteger="1" minValue="777149668" maxValue="420973274201"/>
    </cacheField>
    <cacheField name="Kontaktní e-mail" numFmtId="0">
      <sharedItems containsBlank="1" count="276">
        <s v="ms.krasna@obeckrasna.cz"/>
        <s v="skolkahranice@gmail.com"/>
        <s v="reditelka@skolahranice.eu"/>
        <s v="okruzni@zsmsok.eu"/>
        <s v="reditelka@zspsas.cz"/>
        <s v="zusas@centrum.cz"/>
        <s v="moravska.as@gmail.com"/>
        <s v="kancelar@zskamenna.cz"/>
        <s v="9skolka@gmail.com"/>
        <s v="kommova.jana@zss-as.eu"/>
        <s v="meddm.slunicko@gmail.com"/>
        <s v="skolka-as@email.cz"/>
        <s v="reditel@zshlavkova.cz"/>
        <s v="zsliba@zsliba.cz"/>
        <s v="martinkova@zshazlov.cz"/>
        <s v="info@zsfrlazne.cz"/>
        <s v="reneta.dumdeti@tiscali.cz"/>
        <s v="1msfl@seznam.cz"/>
        <s v="zsplesna@zsplesna.cz"/>
        <s v="3msfl@tiscali.cz"/>
        <s v="info@zusfrantiskovylazne.cz"/>
        <s v="info@ms-skalka.cz"/>
        <s v="sekretariat@1zscheb.eu"/>
        <s v="ddmcheb@ddmcheb.cz"/>
        <s v="zsskalna@zsskalna.cz"/>
        <s v="ms.skalna@atlas.cz"/>
        <s v="4zscheb@seznam.cz"/>
        <s v="zuscheb@zuscheb.cz"/>
        <s v="sekretariat@2zscheb.cz"/>
        <s v="mat.skola.pohadka@seznam.cz"/>
        <s v="kostelni@zs-cheb.cz"/>
        <s v="slunicko@msosvobozeni.cz"/>
        <s v="5zscheb@5zscheb.cz"/>
        <s v="ms.gregorova@seznam.cz"/>
        <s v="3zscheb@3zscheb.cz"/>
        <s v="6zscheb@6zscheb.cz"/>
        <s v="info.matskola2@volny.cz"/>
        <s v="msbezrucova@volny.cz"/>
        <s v="ms.luby@c-box.cz"/>
        <s v="meddm.luby@quick.cz"/>
        <s v="ms.treben@seznam.cz"/>
        <s v="zus-luby@seznam.cz"/>
        <s v="sekretariat@zsluby.cz"/>
        <s v="reditelka@skola-nk.cz"/>
        <s v="skolalipova-cheb@seznam.cz"/>
        <m/>
        <s v="msokrouhla@seznam.cz"/>
        <s v="msskola.kraslice@tiscali.cz"/>
        <s v="zspskraslice@seznam.cz"/>
        <s v="kraslice.2.ms@volny.cz"/>
        <s v="zuskraslice@volny.cz"/>
        <s v="mslipova.kraslice@volny.cz"/>
        <s v="zskraslice@volny.cz"/>
        <s v="zs2kraslice@zs2kraslice.cz"/>
        <s v="dum_deti@volny.cz"/>
        <s v="ms.uelektrarny@tiscali.cz"/>
        <s v="info@zuskynsperk.cz"/>
        <s v="skolkaupivovaru@volny.cz"/>
        <s v="sekretariat@zs-kynsperk.cz"/>
        <s v="mskynsperk@seznam.cz"/>
        <s v="sekretariat@skola-krajkova.cz"/>
        <s v="skolka.habartov@centrum.cz"/>
        <s v="zs1habartov@volny.cz"/>
        <s v="zushabartov@seznam.cz"/>
        <s v="skolka1.habartov@volny.cz"/>
        <s v="sekretariat@zsdolnizandov.cz"/>
        <s v="jaroslava.mareckova@zslu.cz"/>
        <s v="zs@zs.rotava.cz"/>
        <s v="zsolovi@seznam.cz"/>
        <s v="zs.bukovany@volny.cz"/>
        <s v="ms.bukovany@volny.cz"/>
        <s v="mssabina@volny.cz"/>
        <s v="zsstaravoda@seznam.cz"/>
        <s v="reditelka@skolajindrichovice.cz"/>
        <s v="skolatrisek@seznam.cz"/>
        <s v="reditelka@mscitice.cz"/>
        <s v="reditel@zslk.cz"/>
        <s v="skolka.lomnice@volny.cz"/>
        <s v="info@lomnicezs.cz"/>
        <s v="zus.sokolov@volny.cz"/>
        <s v="ms.vrchlickeho@seznam.cz"/>
        <s v="petra.siskova@2zs-sokolov.cz"/>
        <s v="ms1brezova@c-box.cz"/>
        <s v="msdolnirychnov@seznam.cz"/>
        <s v="skolka@barevnyklicek.cz"/>
        <s v="info@zs-brezova.cz"/>
        <s v="skola@1zs-sokolov.cz"/>
        <s v="zs5sokolov@volny.cz"/>
        <s v="mateskolka2@gmail.com"/>
        <s v="1ms.so@seznam.cz"/>
        <s v="ms.borovskeho@seznam.cz"/>
        <s v="sokolovddm@ddmsokolov.cz"/>
        <s v="zsmsdrmoul@seznam.cz"/>
        <s v="info@zs8so.cz"/>
        <s v="skola@zsvh.cz"/>
        <s v="reditelka@mskosmonautu.cz"/>
        <s v="zs.rovna@seznam.cz"/>
        <s v="mssomajerova@centrum.cz"/>
        <s v="skola@6zs-sokolov.cz"/>
        <s v="info@zskralovskeporici.cz"/>
        <s v="msalsovasokolov@gmail.com"/>
        <s v="msvhre@gmail.com"/>
        <s v="MSKlimentov@seznam.cz"/>
        <s v="skolka.kp@volny.cz"/>
        <s v="ms.trstenice@centrum.cz"/>
        <s v="zs.spec.ml@gmail.com"/>
        <s v="ms-tresnovka@seznam.cz"/>
        <s v="sekretariat@skolajih.cz"/>
        <s v="chopin@zus-ml.cz"/>
        <s v="msvora@post.cz"/>
        <s v="3.matskola@gmail.com"/>
        <s v="krizikovamsml@gmail.com"/>
        <s v="sekretariat@zsusovice.cz"/>
        <s v="irena.bornova@ddmml.cz"/>
        <s v="7m.skola@tiscali.cz"/>
        <s v="ms_staresedlo@razdva.cz"/>
        <s v="info@skolavintirov.cz"/>
        <s v="m.s.vintirov@volny.cz"/>
        <s v="ms.husova.nejdek@seznam.cz"/>
        <s v="ms.zm.nejdek@seznam.cz"/>
        <s v="zsnejnam@seznam.cz"/>
        <s v="zusnejdek@volny.cz"/>
        <s v="prvnimts.nejdek@seznam.cz"/>
        <s v="info@zspotucky.cz"/>
        <s v="reditel@zsnovesedlo.cz"/>
        <s v="msloket@seznam.cz"/>
        <s v="ms.sklarska@quick.cz"/>
        <s v="reditel@zs2chodov.cz"/>
        <s v="info@zs3chodov.cz"/>
        <s v="ms.lipova.nejdek@volny.cz"/>
        <s v="materskaskola@mschodov.cz"/>
        <s v="ddm-chodov@mybox.cz"/>
        <s v="2.ZS.Nejdek@seznam.cz"/>
        <s v="iva.sipova@seznam.cz"/>
        <s v="info@zus-chodov.cz"/>
        <s v="info@avantechchodov.cz"/>
        <s v="info@zsloket.cz"/>
        <s v="zsamsbozicany@seznam.cz"/>
        <s v="reditelka@zsamshb.cz"/>
        <s v="sekretariat@zsnovarole.cz"/>
        <s v="ddm@novarole.cz"/>
        <s v="novarolezus@gmail.com"/>
        <s v="skolaper@seznam.cz"/>
        <s v="ms@novarole.cz"/>
        <s v="mskrasno@seznam.cz"/>
        <s v="zs2hslavkov@volny.cz"/>
        <s v="skolka7@seznam.cz"/>
        <s v="ddmhslavkov@volny.cz"/>
        <s v="skolkadlouha@hornislavkov.cz"/>
        <s v="sekretariat@zs1hornislavkov.cz"/>
        <s v="jzapf@zushslavkov.cz"/>
        <s v="reditel.zsabertamy@seznam.cz"/>
        <s v="msmeziroli@volny.cz"/>
        <s v="reditelka@materinkykv.cz"/>
        <s v="zstruhlarska@seznam.cz"/>
        <s v="posta@skoladvory.cz"/>
        <s v="reditelka@zsamsbecov.cz"/>
        <s v="reditel@ddmkv.cz"/>
        <s v="zskonecna@zskonecnakv.cz"/>
        <s v="sekretariat@zskvary.cz"/>
        <s v="skola@zsazus.cz"/>
        <s v="zs.merklin@volny.cz"/>
        <s v="materskaskolamerklin.svajkova@seznam.cz"/>
        <s v="info@zusad.cz"/>
        <s v="info@zsdukla.cz"/>
        <s v="sekretariat@zsruzovyvrch.eu"/>
        <s v="sekretariat@2mskv.cz"/>
        <s v="zs.tepla@seznam.cz"/>
        <s v="msbrezovaukv@seznam.cz"/>
        <s v="zus.tepla@tepla.cz"/>
        <s v="ms.tepla@seznam.cz"/>
        <s v="sekretariat@zshroznetin.net"/>
        <s v="reditelka@mshroznetin.cz"/>
        <s v="steinova@zsdys.cz"/>
        <s v="sekretariat@zskomenskeho-kv.cz"/>
        <s v="info@jazkvary.cz"/>
        <s v="monika.brabcova@zsmsdalovice.cz"/>
        <s v="zskolova@zskolova.cz"/>
        <s v="ms@krasneudoli.cz"/>
        <s v="skola@zsjachymov.eu"/>
        <s v="mddm@mddmostrov.cz"/>
        <s v="1zsostrov@1zsostrov.cz"/>
        <s v="reditelka@zusostrov.cz"/>
        <s v="mshalasova@seznam.cz"/>
        <s v="masarykovams@seznam.cz"/>
        <s v="reditelka@mspalackeho.cz"/>
        <s v="sekretariat@3zsostrov.cz"/>
        <s v="ms.krusnohorska.ostrov@seznam.cz"/>
        <s v="reditel@zsamsostrov.cz"/>
        <s v="reditel@zsutvina.cz"/>
        <s v="skolkasemnice@volny.cz"/>
        <s v="mstouzim@email.cz"/>
        <s v="skola@zsamstouzim.cz"/>
        <s v="reditel@zustouzim.cz"/>
        <s v="zstouzim@zstouzim.cz"/>
        <s v="info@zskyselka.cz"/>
        <s v="msstruzna@seznam.cz"/>
        <s v="simona.kocova@email.cz"/>
        <s v="ms@msjakubov.cz"/>
        <s v="info@zsbochov.cz"/>
        <s v="ms.bochov@seznam.cz"/>
        <s v="skolkastraz@seznam.cz"/>
        <s v="zsstedra@seznam.cz"/>
        <s v="podatelna@zszlutice.cz"/>
        <s v="​​reditel@mszlutice.cz"/>
        <s v="zs.chyse@volny.cz"/>
        <s v="reditelka@mszsvalec.cz"/>
        <s v="svatava@skolasvatava.cz"/>
        <s v="kontakt@gymas.cz"/>
        <s v="ddslavkov@volny.cz"/>
        <s v="gymcheb@gymcheb.cz"/>
        <s v="info@iss-cheb.cz"/>
        <s v="info@szscheb.cz"/>
        <s v="horcicka@sscheb.cz"/>
        <s v="info@gymso.cz"/>
        <s v="skola@zivnostenska-sokolov.cz"/>
        <s v="isste@isste.cz"/>
        <s v="hotelova.skola@post.cz"/>
        <s v="goaml@goaml.cz"/>
        <s v="dmml@centrum.cz"/>
        <s v="domov@ddmla.cz"/>
        <s v="m.kheilova@specskoly.eu"/>
        <s v="pitra@zusjlbecov.cz"/>
        <s v="sekretariat@supskv.cz"/>
        <s v="info@oakv.cz"/>
        <s v="zsnem.kvary@seznam.cz"/>
        <s v="sekretariat.skoly@zdravkakv.cz"/>
        <s v="info@ssstravovani.cz"/>
        <s v="podatelna@stavebniskolakv.cz"/>
        <s v="skola@gymkvary.eu"/>
        <s v="sekretariat@pppkv.cz"/>
        <s v="info@dmkv.cz"/>
        <s v="bazen@bdkv.cz"/>
        <s v="info@pedgym-kv.cz"/>
        <s v="info@logistickaskola.cz"/>
        <s v="ddkvo@ddkvo.cz"/>
        <s v="hospodar@zs-ostrov.cz"/>
        <s v="sekretariat@spsostrov.cz"/>
        <s v="sekretariat@gymostrov.eu"/>
        <s v="info@slszlutice.cz"/>
        <s v="skola@ddszlutice.cz"/>
        <s v="karlovarsky@euroinstitut.cz"/>
        <s v="skola@neonovaskola.cz"/>
        <s v="info@lmscheb.cz"/>
        <s v="info@waldorfcheb.cz"/>
        <s v="schs@schs.cz"/>
        <s v="reditelka@mscheb.cz"/>
        <s v="sekretariat@skolamv.cz"/>
        <s v="info@skolavila.cz"/>
        <s v="INFO@SOKOREST.CZ"/>
        <s v="kalina@vsmt.cz"/>
        <s v="soas@e-soas.cz"/>
        <s v="carolina.school@email.cz"/>
        <s v="info@skolamanesova.cz"/>
        <s v="mspraminek@centrum.cz"/>
        <s v="ctyrlistekml@seznam.cz"/>
        <s v="jezdeckaakademie@email.cz"/>
        <s v="info@montessori-elipsa.cz"/>
        <s v="martina@svatosky-skolka.cz"/>
        <s v="info@msmoudrasova.cz"/>
        <s v="kancelar@wlastovka.cz"/>
        <s v="tereza.zapadlo@veselaveda.cz"/>
        <s v="sekretariat@soskv.cz"/>
        <s v="vedeni.skoly@skola-kvvenkov.cz"/>
        <s v="karlovyvary@trivis.cz"/>
        <s v="msbenedikt@msbenedikt.cz"/>
        <s v="spv@pupp.cz"/>
        <s v="info@soapodnikatel.cz"/>
        <s v="miroslava.broz@gmail.com"/>
        <s v="fek@service.zcu.cz"/>
        <s v="pzelenko@fpe.zcu.cz"/>
        <s v="mkrakor@fpe.zcu.cz"/>
        <s v="dekanat_fzp@fzp.czu.cz"/>
        <s v="karlovyvary@vsfs.cz"/>
        <s v="karaskova@vszdrav.cz"/>
        <s v="veducitel@vubuskovice.cz"/>
      </sharedItems>
    </cacheField>
    <cacheField name="Webová stránka" numFmtId="0">
      <sharedItems/>
    </cacheField>
    <cacheField name="ORP" numFmtId="0">
      <sharedItems count="7">
        <s v="ORP Aš"/>
        <s v="ORP Cheb"/>
        <s v="ORP Kraslice"/>
        <s v="ORP Sokolov"/>
        <s v="ORP Mariánské Lázně"/>
        <s v="ORP Karlovy Vary"/>
        <s v="ORP Ostrov"/>
      </sharedItems>
    </cacheField>
    <cacheField name="okres" numFmtId="0">
      <sharedItems count="3">
        <s v="okres Cheb"/>
        <s v="okres Sokolov"/>
        <s v="okres Karlovy V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n v="73732737"/>
    <x v="0"/>
    <s v="příspěvková organizace"/>
    <s v="veřejné"/>
    <s v="obec v Karlovarském kraji"/>
    <x v="0"/>
    <x v="0"/>
    <x v="0"/>
    <x v="0"/>
    <s v="ne"/>
    <s v="ne"/>
    <s v="ne"/>
    <s v="ne"/>
    <s v="Krásná 280, 35201 Krásná"/>
    <n v="538795"/>
    <x v="0"/>
    <s v="12.172269"/>
    <s v="50.232007"/>
    <n v="420777490746"/>
    <x v="0"/>
    <s v="http://ms.obeckrasna.cz/"/>
    <x v="0"/>
    <x v="0"/>
  </r>
  <r>
    <n v="60611391"/>
    <x v="1"/>
    <s v="příspěvková organizace"/>
    <s v="veřejné"/>
    <s v="obec v Karlovarském kraji"/>
    <x v="0"/>
    <x v="0"/>
    <x v="0"/>
    <x v="0"/>
    <s v="ne"/>
    <s v="ne"/>
    <s v="ne"/>
    <s v="ne"/>
    <s v="Soukenná 844, 35124 Hranice"/>
    <n v="554553"/>
    <x v="1"/>
    <s v="12.174315"/>
    <s v="50.307003"/>
    <n v="420603195991"/>
    <x v="1"/>
    <s v="https://www.mshranice.cz/cs"/>
    <x v="0"/>
    <x v="0"/>
  </r>
  <r>
    <n v="60611405"/>
    <x v="2"/>
    <s v="příspěvková organizace"/>
    <s v="veřejné"/>
    <s v="obec v Karlovarském kraji"/>
    <x v="1"/>
    <x v="1"/>
    <x v="0"/>
    <x v="0"/>
    <s v="ne"/>
    <s v="ne"/>
    <s v="ne"/>
    <s v="ne"/>
    <s v="Husova 414, 35124 Hranice"/>
    <n v="554553"/>
    <x v="1"/>
    <s v="12.177154"/>
    <s v="50.306415"/>
    <n v="420354599959"/>
    <x v="2"/>
    <s v="https://www.skolahranice.cz/"/>
    <x v="0"/>
    <x v="0"/>
  </r>
  <r>
    <n v="70976490"/>
    <x v="3"/>
    <s v="příspěvková organizace"/>
    <s v="veřejné"/>
    <s v="obec v Karlovarském kraji"/>
    <x v="0"/>
    <x v="1"/>
    <x v="0"/>
    <x v="0"/>
    <s v="ne"/>
    <s v="ne"/>
    <s v="ne"/>
    <s v="ne"/>
    <s v="Okružní 1580/57, 35201 Aš"/>
    <n v="554499"/>
    <x v="2"/>
    <s v="12.179338"/>
    <s v="50.221102"/>
    <n v="420354525610"/>
    <x v="3"/>
    <s v="https://www.zsmsok.eu/"/>
    <x v="0"/>
    <x v="0"/>
  </r>
  <r>
    <n v="68781580"/>
    <x v="4"/>
    <s v="příspěvková organizace"/>
    <s v="veřejné"/>
    <s v="obec v Karlovarském kraji"/>
    <x v="1"/>
    <x v="1"/>
    <x v="1"/>
    <x v="0"/>
    <s v="ne"/>
    <s v="ne"/>
    <s v="ne"/>
    <s v="ne"/>
    <s v="Studentská 1612/13, 35201 Aš"/>
    <n v="554499"/>
    <x v="2"/>
    <s v="12.183502"/>
    <s v="50.228133"/>
    <n v="420354525270"/>
    <x v="4"/>
    <s v="https://www.zspsas.eu/"/>
    <x v="0"/>
    <x v="0"/>
  </r>
  <r>
    <n v="47720964"/>
    <x v="5"/>
    <s v="příspěvková organizace"/>
    <s v="veřejné"/>
    <s v="obec v Karlovarském kraji"/>
    <x v="1"/>
    <x v="0"/>
    <x v="0"/>
    <x v="0"/>
    <s v="ne"/>
    <s v="ano"/>
    <s v="ne"/>
    <s v="ne"/>
    <s v="Kostelní   42/12, 35201 Aš"/>
    <n v="554499"/>
    <x v="2"/>
    <s v="12.186703"/>
    <s v="50.226109"/>
    <n v="420354525015"/>
    <x v="5"/>
    <s v="https://zusas.cz/"/>
    <x v="0"/>
    <x v="0"/>
  </r>
  <r>
    <n v="70976431"/>
    <x v="6"/>
    <s v="příspěvková organizace"/>
    <s v="veřejné"/>
    <s v="obec v Karlovarském kraji"/>
    <x v="0"/>
    <x v="0"/>
    <x v="0"/>
    <x v="0"/>
    <s v="ne"/>
    <s v="ne"/>
    <s v="ne"/>
    <s v="ne"/>
    <s v="Moravská 1926/10, 35201 Aš"/>
    <n v="554499"/>
    <x v="2"/>
    <s v="12.18863"/>
    <s v="50.223612"/>
    <n v="420354525988"/>
    <x v="6"/>
    <s v="https://www.skolka-moravska.cz/"/>
    <x v="0"/>
    <x v="0"/>
  </r>
  <r>
    <n v="70976473"/>
    <x v="7"/>
    <s v="příspěvková organizace"/>
    <s v="veřejné"/>
    <s v="obec v Karlovarském kraji"/>
    <x v="1"/>
    <x v="1"/>
    <x v="0"/>
    <x v="0"/>
    <s v="ne"/>
    <s v="ne"/>
    <s v="ne"/>
    <s v="ne"/>
    <s v="Kamenná 152/2, 35201 Aš"/>
    <n v="554499"/>
    <x v="2"/>
    <s v="12.191407"/>
    <s v="50.22206"/>
    <n v="420354525996"/>
    <x v="7"/>
    <s v="https://stranky.kamenka.cz/"/>
    <x v="0"/>
    <x v="0"/>
  </r>
  <r>
    <n v="70976457"/>
    <x v="8"/>
    <s v="příspěvková organizace"/>
    <s v="veřejné"/>
    <s v="obec v Karlovarském kraji"/>
    <x v="0"/>
    <x v="0"/>
    <x v="0"/>
    <x v="0"/>
    <s v="ne"/>
    <s v="ne"/>
    <s v="ne"/>
    <s v="ne"/>
    <s v="Neumannova 2560, 35201 Aš"/>
    <n v="554499"/>
    <x v="2"/>
    <s v="12.192414"/>
    <s v="50.22006"/>
    <n v="420354526128"/>
    <x v="8"/>
    <s v="https://www.neumannka.cz/"/>
    <x v="0"/>
    <x v="0"/>
  </r>
  <r>
    <n v="70978239"/>
    <x v="9"/>
    <s v="příspěvková organizace"/>
    <s v="veřejné"/>
    <s v="obec v Karlovarském kraji"/>
    <x v="1"/>
    <x v="0"/>
    <x v="0"/>
    <x v="0"/>
    <s v="ne"/>
    <s v="ne"/>
    <s v="ne"/>
    <s v="ano"/>
    <s v="Dlouhá 2618/3, 35201 Aš"/>
    <n v="554499"/>
    <x v="2"/>
    <s v="12.192643"/>
    <s v="50.223248"/>
    <n v="420354525816"/>
    <x v="9"/>
    <s v="https://www.zss-as.cz/"/>
    <x v="0"/>
    <x v="0"/>
  </r>
  <r>
    <n v="47722363"/>
    <x v="10"/>
    <s v="příspěvková organizace"/>
    <s v="veřejné"/>
    <s v="obec v Karlovarském kraji"/>
    <x v="1"/>
    <x v="0"/>
    <x v="0"/>
    <x v="0"/>
    <s v="ne"/>
    <s v="ne"/>
    <s v="ano"/>
    <s v="ne"/>
    <s v="Štefánikova 2515, 35201 Aš"/>
    <n v="554499"/>
    <x v="2"/>
    <s v="12.193072"/>
    <s v="50.224996"/>
    <n v="420354525503"/>
    <x v="10"/>
    <s v="https://www.meddmslunicko.cz/"/>
    <x v="0"/>
    <x v="0"/>
  </r>
  <r>
    <n v="47722801"/>
    <x v="11"/>
    <s v="příspěvková organizace"/>
    <s v="veřejné"/>
    <s v="obec v Karlovarském kraji"/>
    <x v="0"/>
    <x v="0"/>
    <x v="0"/>
    <x v="0"/>
    <s v="ne"/>
    <s v="ne"/>
    <s v="ne"/>
    <s v="ne"/>
    <s v="Nohova 2201, 35201 Aš"/>
    <n v="554499"/>
    <x v="2"/>
    <s v="12.194472"/>
    <s v="50.213098"/>
    <n v="420354525686"/>
    <x v="11"/>
    <s v="https://www.msnohova.cz/"/>
    <x v="0"/>
    <x v="0"/>
  </r>
  <r>
    <n v="70976481"/>
    <x v="12"/>
    <s v="příspěvková organizace"/>
    <s v="veřejné"/>
    <s v="obec v Karlovarském kraji"/>
    <x v="1"/>
    <x v="1"/>
    <x v="0"/>
    <x v="0"/>
    <s v="ne"/>
    <s v="ne"/>
    <s v="ne"/>
    <s v="ne"/>
    <s v="Hlávkova 1472/26, 35201 Aš"/>
    <n v="554499"/>
    <x v="2"/>
    <s v="12.202515"/>
    <s v="50.21743"/>
    <n v="420778485394"/>
    <x v="12"/>
    <s v="https://www.zshlavkova.cz/"/>
    <x v="0"/>
    <x v="0"/>
  </r>
  <r>
    <n v="75006235"/>
    <x v="13"/>
    <s v="příspěvková organizace"/>
    <s v="veřejné"/>
    <s v="obec v Karlovarském kraji"/>
    <x v="0"/>
    <x v="1"/>
    <x v="0"/>
    <x v="0"/>
    <s v="ne"/>
    <s v="ne"/>
    <s v="ne"/>
    <s v="ne"/>
    <s v="Libá 225, 35131 Libá"/>
    <n v="554618"/>
    <x v="3"/>
    <s v="12.23619"/>
    <s v="50.124421"/>
    <n v="420776240394"/>
    <x v="13"/>
    <s v="https://zsliba.cz/w/"/>
    <x v="1"/>
    <x v="0"/>
  </r>
  <r>
    <n v="75010895"/>
    <x v="14"/>
    <s v="příspěvková organizace"/>
    <s v="veřejné"/>
    <s v="obec v Karlovarském kraji"/>
    <x v="0"/>
    <x v="1"/>
    <x v="0"/>
    <x v="0"/>
    <s v="ne"/>
    <s v="ne"/>
    <s v="ne"/>
    <s v="ne"/>
    <s v="Hazlov 119, 35132 Hazlov"/>
    <n v="554545"/>
    <x v="4"/>
    <s v="12.275193"/>
    <s v="50.158432"/>
    <n v="420355335173"/>
    <x v="14"/>
    <s v="http://zshazlov.cz"/>
    <x v="0"/>
    <x v="0"/>
  </r>
  <r>
    <n v="47721006"/>
    <x v="15"/>
    <s v="příspěvková organizace"/>
    <s v="veřejné"/>
    <s v="obec v Karlovarském kraji"/>
    <x v="1"/>
    <x v="1"/>
    <x v="0"/>
    <x v="0"/>
    <s v="ne"/>
    <s v="ne"/>
    <s v="ne"/>
    <s v="ne"/>
    <s v="Česká 39/1, 35101 Františkovy Lázně"/>
    <n v="554529"/>
    <x v="5"/>
    <s v="12.343193"/>
    <s v="50.124634"/>
    <n v="420731151835"/>
    <x v="15"/>
    <s v="https://zsfrlazne.edupage.org/"/>
    <x v="1"/>
    <x v="0"/>
  </r>
  <r>
    <n v="47721880"/>
    <x v="16"/>
    <s v="příspěvková organizace"/>
    <s v="veřejné"/>
    <s v="obec v Karlovarském kraji"/>
    <x v="1"/>
    <x v="0"/>
    <x v="0"/>
    <x v="0"/>
    <s v="ne"/>
    <s v="ne"/>
    <s v="ano"/>
    <s v="ano"/>
    <s v="Dlouhá 181/6, 35101 Františkovy Lázně"/>
    <n v="554529"/>
    <x v="5"/>
    <s v="12.345389"/>
    <s v="50.121809"/>
    <n v="420355335152"/>
    <x v="16"/>
    <s v="https://www.ddmsdfl.cz/"/>
    <x v="1"/>
    <x v="0"/>
  </r>
  <r>
    <n v="47722797"/>
    <x v="17"/>
    <s v="příspěvková organizace"/>
    <s v="veřejné"/>
    <s v="obec v Karlovarském kraji"/>
    <x v="0"/>
    <x v="0"/>
    <x v="0"/>
    <x v="0"/>
    <s v="ne"/>
    <s v="ne"/>
    <s v="ne"/>
    <s v="ne"/>
    <s v="Česká 350/14, 35101 Františkovy Lázně"/>
    <n v="554529"/>
    <x v="5"/>
    <s v="12.345444"/>
    <s v="50.12443"/>
    <n v="420354542915"/>
    <x v="17"/>
    <s v="https://www.mspraminky.cz/"/>
    <x v="1"/>
    <x v="0"/>
  </r>
  <r>
    <n v="71001930"/>
    <x v="18"/>
    <s v="příspěvková organizace"/>
    <s v="veřejné"/>
    <s v="obec v Karlovarském kraji"/>
    <x v="0"/>
    <x v="1"/>
    <x v="0"/>
    <x v="0"/>
    <s v="ne"/>
    <s v="ne"/>
    <s v="ne"/>
    <s v="ne"/>
    <s v="Školní 254, 35135 Plesná"/>
    <n v="554740"/>
    <x v="6"/>
    <s v="12.348287"/>
    <s v="50.222169"/>
    <n v="420736481607"/>
    <x v="18"/>
    <s v="https://www.zsplesna.cz/"/>
    <x v="1"/>
    <x v="0"/>
  </r>
  <r>
    <n v="60610115"/>
    <x v="19"/>
    <s v="příspěvková organizace"/>
    <s v="veřejné"/>
    <s v="obec v Karlovarském kraji"/>
    <x v="0"/>
    <x v="0"/>
    <x v="0"/>
    <x v="0"/>
    <s v="ne"/>
    <s v="ne"/>
    <s v="ne"/>
    <s v="ne"/>
    <s v="Školní 182/1, 35101 Františkovy Lázně"/>
    <n v="554529"/>
    <x v="5"/>
    <s v="12.350039"/>
    <s v="50.123381"/>
    <n v="420354542438"/>
    <x v="19"/>
    <s v="https://www.msfrantiskovylazne.cz/"/>
    <x v="1"/>
    <x v="0"/>
  </r>
  <r>
    <n v="47721499"/>
    <x v="20"/>
    <s v="příspěvková organizace"/>
    <s v="veřejné"/>
    <s v="obec v Karlovarském kraji"/>
    <x v="1"/>
    <x v="0"/>
    <x v="0"/>
    <x v="0"/>
    <s v="ne"/>
    <s v="ano"/>
    <s v="ne"/>
    <s v="ne"/>
    <s v="Školní 219/3, 35101 Františkovy Lázně"/>
    <n v="554529"/>
    <x v="5"/>
    <s v="12.35049"/>
    <s v="50.124365"/>
    <n v="420354542339"/>
    <x v="20"/>
    <s v="https://www.zusfrantiskovylazne.cz/"/>
    <x v="1"/>
    <x v="0"/>
  </r>
  <r>
    <n v="70987271"/>
    <x v="21"/>
    <s v="příspěvková organizace"/>
    <s v="veřejné"/>
    <s v="obec v Karlovarském kraji"/>
    <x v="0"/>
    <x v="0"/>
    <x v="0"/>
    <x v="0"/>
    <s v="ne"/>
    <s v="ne"/>
    <s v="ne"/>
    <s v="ne"/>
    <s v="Do Zátiší 1483/3, 35002 Cheb"/>
    <n v="554481"/>
    <x v="7"/>
    <s v="12.353863"/>
    <s v="50.073108"/>
    <n v="420354430751"/>
    <x v="21"/>
    <s v="https://www.ms-skalka.cz/"/>
    <x v="1"/>
    <x v="0"/>
  </r>
  <r>
    <n v="70987211"/>
    <x v="22"/>
    <s v="příspěvková organizace"/>
    <s v="veřejné"/>
    <s v="obec v Karlovarském kraji"/>
    <x v="1"/>
    <x v="1"/>
    <x v="0"/>
    <x v="0"/>
    <s v="ne"/>
    <s v="ne"/>
    <s v="ne"/>
    <s v="ne"/>
    <s v="Americká 1453/36, 35002 Cheb"/>
    <n v="554481"/>
    <x v="7"/>
    <s v="12.35444"/>
    <s v="50.075292"/>
    <n v="420354433816"/>
    <x v="22"/>
    <s v="https://1zscheb.edupage.org/"/>
    <x v="1"/>
    <x v="0"/>
  </r>
  <r>
    <n v="47723475"/>
    <x v="23"/>
    <s v="příspěvková organizace"/>
    <s v="veřejné"/>
    <s v="obec v Karlovarském kraji"/>
    <x v="1"/>
    <x v="0"/>
    <x v="0"/>
    <x v="0"/>
    <s v="ne"/>
    <s v="ne"/>
    <s v="ano"/>
    <s v="ne"/>
    <s v="Goethova 1108/26, 35002 Cheb"/>
    <n v="554481"/>
    <x v="7"/>
    <s v="12.357336"/>
    <s v="50.078424"/>
    <n v="420773762479"/>
    <x v="23"/>
    <s v="https://www.ddmcheb.cz/"/>
    <x v="1"/>
    <x v="0"/>
  </r>
  <r>
    <n v="75006561"/>
    <x v="24"/>
    <s v="příspěvková organizace"/>
    <s v="veřejné"/>
    <s v="obec v Karlovarském kraji"/>
    <x v="1"/>
    <x v="1"/>
    <x v="0"/>
    <x v="0"/>
    <s v="ne"/>
    <s v="ne"/>
    <s v="ne"/>
    <s v="ne"/>
    <s v="Sportovní 260, 35134 Skalná"/>
    <n v="554812"/>
    <x v="8"/>
    <s v="12.360707"/>
    <s v="50.172943"/>
    <n v="420736481606"/>
    <x v="24"/>
    <s v="https://www.zsskalna.cz/index.php?type=Blog&amp;id=20&amp;ids=12"/>
    <x v="1"/>
    <x v="0"/>
  </r>
  <r>
    <n v="75006570"/>
    <x v="25"/>
    <s v="příspěvková organizace"/>
    <s v="veřejné"/>
    <s v="obec v Karlovarském kraji"/>
    <x v="0"/>
    <x v="0"/>
    <x v="0"/>
    <x v="0"/>
    <s v="ne"/>
    <s v="ne"/>
    <s v="ne"/>
    <s v="ne"/>
    <s v="Česká 273, 35134 Skalná"/>
    <n v="554812"/>
    <x v="8"/>
    <s v="12.363807"/>
    <s v="50.172493"/>
    <n v="420354594931"/>
    <x v="25"/>
    <s v="http://msskalna.cz/"/>
    <x v="1"/>
    <x v="0"/>
  </r>
  <r>
    <n v="70987475"/>
    <x v="26"/>
    <s v="příspěvková organizace"/>
    <s v="veřejné"/>
    <s v="obec v Karlovarském kraji"/>
    <x v="1"/>
    <x v="1"/>
    <x v="0"/>
    <x v="0"/>
    <s v="ne"/>
    <s v="ne"/>
    <s v="ne"/>
    <s v="ne"/>
    <s v="Hradební 52/14, 35002 Cheb"/>
    <n v="554481"/>
    <x v="7"/>
    <s v="12.365991"/>
    <s v="50.078147"/>
    <n v="420354422107"/>
    <x v="26"/>
    <s v="https://www.4zscheb.cz/"/>
    <x v="1"/>
    <x v="0"/>
  </r>
  <r>
    <n v="47722193"/>
    <x v="27"/>
    <s v="příspěvková organizace"/>
    <s v="veřejné"/>
    <s v="obec v Karlovarském kraji"/>
    <x v="1"/>
    <x v="0"/>
    <x v="0"/>
    <x v="0"/>
    <s v="ne"/>
    <s v="ano"/>
    <s v="ne"/>
    <s v="ne"/>
    <s v="Židovská 406/8, 35011 Cheb"/>
    <n v="554481"/>
    <x v="7"/>
    <s v="12.368432"/>
    <s v="50.079415"/>
    <n v="420354422993"/>
    <x v="27"/>
    <s v="https://www.zuscheb.cz/"/>
    <x v="1"/>
    <x v="0"/>
  </r>
  <r>
    <n v="70987181"/>
    <x v="28"/>
    <s v="příspěvková organizace"/>
    <s v="veřejné"/>
    <s v="obec v Karlovarském kraji"/>
    <x v="1"/>
    <x v="1"/>
    <x v="0"/>
    <x v="0"/>
    <s v="ne"/>
    <s v="ne"/>
    <s v="ne"/>
    <s v="ne"/>
    <s v="Májová 252/14, 35002 Cheb"/>
    <n v="554481"/>
    <x v="7"/>
    <s v="12.369713"/>
    <s v="50.075177"/>
    <n v="420354422632"/>
    <x v="28"/>
    <s v="https://www.2zscheb.cz/"/>
    <x v="1"/>
    <x v="0"/>
  </r>
  <r>
    <n v="70987327"/>
    <x v="29"/>
    <s v="příspěvková organizace"/>
    <s v="veřejné"/>
    <s v="obec v Karlovarském kraji"/>
    <x v="0"/>
    <x v="0"/>
    <x v="0"/>
    <x v="0"/>
    <s v="ne"/>
    <s v="ne"/>
    <s v="ne"/>
    <s v="ne"/>
    <s v="26. dubna 168/39, 35002 Cheb"/>
    <n v="554481"/>
    <x v="7"/>
    <s v="12.370258"/>
    <s v="50.072605"/>
    <n v="420354433154"/>
    <x v="29"/>
    <s v="https://www.skolkapohadka.cz/"/>
    <x v="1"/>
    <x v="0"/>
  </r>
  <r>
    <n v="70987238"/>
    <x v="30"/>
    <s v="příspěvková organizace"/>
    <s v="veřejné"/>
    <s v="obec v Karlovarském kraji"/>
    <x v="1"/>
    <x v="1"/>
    <x v="0"/>
    <x v="0"/>
    <s v="ne"/>
    <s v="ne"/>
    <s v="ne"/>
    <s v="ne"/>
    <s v="Kostelní náměstí 185/14, 35002 Cheb"/>
    <n v="554481"/>
    <x v="7"/>
    <s v="12.371052"/>
    <s v="50.0806"/>
    <n v="420354422095"/>
    <x v="30"/>
    <s v="https://zs-cheb.cz/"/>
    <x v="1"/>
    <x v="0"/>
  </r>
  <r>
    <n v="70987319"/>
    <x v="31"/>
    <s v="příspěvková organizace"/>
    <s v="veřejné"/>
    <s v="obec v Karlovarském kraji"/>
    <x v="0"/>
    <x v="0"/>
    <x v="0"/>
    <x v="0"/>
    <s v="ne"/>
    <s v="ne"/>
    <s v="ne"/>
    <s v="ne"/>
    <s v="Osvobození 1218/67, 35002 Cheb"/>
    <n v="554481"/>
    <x v="7"/>
    <s v="12.371877"/>
    <s v="50.066552"/>
    <n v="420354430138"/>
    <x v="31"/>
    <s v="https://www.msosvobozeni.cz/"/>
    <x v="1"/>
    <x v="0"/>
  </r>
  <r>
    <n v="70987459"/>
    <x v="32"/>
    <s v="příspěvková organizace"/>
    <s v="veřejné"/>
    <s v="obec v Karlovarském kraji"/>
    <x v="1"/>
    <x v="1"/>
    <x v="0"/>
    <x v="0"/>
    <s v="ne"/>
    <s v="ne"/>
    <s v="ne"/>
    <s v="ne"/>
    <s v="Matěje Kopeckého 1160/1, 35002 Cheb"/>
    <n v="554481"/>
    <x v="7"/>
    <s v="12.372174"/>
    <s v="50.065649"/>
    <n v="420354430643"/>
    <x v="32"/>
    <s v="https://www.5zscheb.cz/"/>
    <x v="1"/>
    <x v="0"/>
  </r>
  <r>
    <n v="70987149"/>
    <x v="33"/>
    <s v="příspěvková organizace"/>
    <s v="veřejné"/>
    <s v="obec v Karlovarském kraji"/>
    <x v="0"/>
    <x v="0"/>
    <x v="0"/>
    <x v="0"/>
    <s v="ne"/>
    <s v="ne"/>
    <s v="ne"/>
    <s v="ne"/>
    <s v="Komenského 642/27, 35002 Cheb"/>
    <n v="554481"/>
    <x v="7"/>
    <s v="12.372786"/>
    <s v="50.079317"/>
    <n v="420354430789"/>
    <x v="33"/>
    <s v="https://www.komenskehoms.cz/"/>
    <x v="1"/>
    <x v="0"/>
  </r>
  <r>
    <n v="70987165"/>
    <x v="34"/>
    <s v="příspěvková organizace"/>
    <s v="veřejné"/>
    <s v="obec v Karlovarském kraji"/>
    <x v="1"/>
    <x v="1"/>
    <x v="0"/>
    <x v="0"/>
    <s v="ne"/>
    <s v="ne"/>
    <s v="ne"/>
    <s v="ne"/>
    <s v="Malé náměstí 2287/3, 35002 Cheb"/>
    <n v="554481"/>
    <x v="7"/>
    <s v="12.374801"/>
    <s v="50.087193"/>
    <n v="420778441969"/>
    <x v="34"/>
    <s v="https://3zscheb.cz/"/>
    <x v="1"/>
    <x v="0"/>
  </r>
  <r>
    <n v="70987441"/>
    <x v="35"/>
    <s v="příspěvková organizace"/>
    <s v="veřejné"/>
    <s v="obec v Karlovarském kraji"/>
    <x v="1"/>
    <x v="1"/>
    <x v="0"/>
    <x v="0"/>
    <s v="ne"/>
    <s v="ne"/>
    <s v="ne"/>
    <s v="ne"/>
    <s v="Obětí nacismu 1127/16, 35002 Cheb"/>
    <n v="554481"/>
    <x v="7"/>
    <s v="12.374847"/>
    <s v="50.072606"/>
    <n v="420354433180"/>
    <x v="35"/>
    <s v="https://www.6zscheb.cz/"/>
    <x v="1"/>
    <x v="0"/>
  </r>
  <r>
    <n v="70987432"/>
    <x v="36"/>
    <s v="příspěvková organizace"/>
    <s v="veřejné"/>
    <s v="obec v Karlovarském kraji"/>
    <x v="0"/>
    <x v="0"/>
    <x v="0"/>
    <x v="0"/>
    <s v="ne"/>
    <s v="ne"/>
    <s v="ne"/>
    <s v="ne"/>
    <s v="Malé náměstí 2196/2, 35002 Cheb"/>
    <n v="554481"/>
    <x v="7"/>
    <s v="12.376434"/>
    <s v="50.087042"/>
    <n v="420354423213"/>
    <x v="36"/>
    <s v="https://www.mszlatacek.cz/"/>
    <x v="1"/>
    <x v="0"/>
  </r>
  <r>
    <n v="70987301"/>
    <x v="37"/>
    <s v="příspěvková organizace"/>
    <s v="veřejné"/>
    <s v="obec v Karlovarském kraji"/>
    <x v="0"/>
    <x v="0"/>
    <x v="0"/>
    <x v="0"/>
    <s v="ne"/>
    <s v="ne"/>
    <s v="ne"/>
    <s v="ne"/>
    <s v="Bezručova 1274/1, 35002 Cheb"/>
    <n v="554481"/>
    <x v="7"/>
    <s v="12.37644"/>
    <s v="50.070774"/>
    <n v="420354432802"/>
    <x v="37"/>
    <s v="https://www.msbezrucova.cz/"/>
    <x v="1"/>
    <x v="0"/>
  </r>
  <r>
    <n v="60611456"/>
    <x v="38"/>
    <s v="příspěvková organizace"/>
    <s v="veřejné"/>
    <s v="obec v Karlovarském kraji"/>
    <x v="0"/>
    <x v="0"/>
    <x v="0"/>
    <x v="0"/>
    <s v="ne"/>
    <s v="ne"/>
    <s v="ne"/>
    <s v="ne"/>
    <s v="Tovární 743, 35137 Luby"/>
    <n v="554634"/>
    <x v="9"/>
    <s v="12.398909"/>
    <s v="50.256389"/>
    <n v="420354596375"/>
    <x v="38"/>
    <s v="https://msluby.estranky.cz/"/>
    <x v="1"/>
    <x v="0"/>
  </r>
  <r>
    <n v="69972745"/>
    <x v="39"/>
    <s v="příspěvková organizace"/>
    <s v="veřejné"/>
    <s v="obec v Karlovarském kraji"/>
    <x v="1"/>
    <x v="0"/>
    <x v="0"/>
    <x v="0"/>
    <s v="ne"/>
    <s v="ne"/>
    <s v="ano"/>
    <s v="ne"/>
    <s v="Tovární 742, 35137 Luby"/>
    <n v="554634"/>
    <x v="9"/>
    <s v="12.399183"/>
    <s v="50.256227"/>
    <n v="420359901917"/>
    <x v="39"/>
    <s v="https://www.ddmluby.cz/"/>
    <x v="1"/>
    <x v="0"/>
  </r>
  <r>
    <n v="70995788"/>
    <x v="40"/>
    <s v="příspěvková organizace"/>
    <s v="veřejné"/>
    <s v="obec v Karlovarském kraji"/>
    <x v="0"/>
    <x v="0"/>
    <x v="0"/>
    <x v="0"/>
    <s v="ne"/>
    <s v="ne"/>
    <s v="ne"/>
    <s v="ne"/>
    <s v="Třebeň 17, 35134 Skalná"/>
    <n v="554812"/>
    <x v="8"/>
    <s v="12.399953"/>
    <s v="50.128788"/>
    <n v="420354542491"/>
    <x v="40"/>
    <s v="https://www.mstreben.cz/"/>
    <x v="1"/>
    <x v="0"/>
  </r>
  <r>
    <n v="47723629"/>
    <x v="41"/>
    <s v="příspěvková organizace"/>
    <s v="veřejné"/>
    <s v="obec v Karlovarském kraji"/>
    <x v="1"/>
    <x v="0"/>
    <x v="0"/>
    <x v="0"/>
    <s v="ne"/>
    <s v="ano"/>
    <s v="ne"/>
    <s v="ne"/>
    <s v="Masarykova 178, 35137 Luby"/>
    <n v="554634"/>
    <x v="9"/>
    <s v="12.404173"/>
    <s v="50.255344"/>
    <n v="420359901363"/>
    <x v="41"/>
    <s v="https://zusluby.cz/"/>
    <x v="1"/>
    <x v="0"/>
  </r>
  <r>
    <n v="60611464"/>
    <x v="42"/>
    <s v="příspěvková organizace"/>
    <s v="veřejné"/>
    <s v="obec v Karlovarském kraji"/>
    <x v="1"/>
    <x v="1"/>
    <x v="0"/>
    <x v="0"/>
    <s v="ne"/>
    <s v="ne"/>
    <s v="ne"/>
    <s v="ne"/>
    <s v="Masarykova 195, 35137 Luby"/>
    <n v="554634"/>
    <x v="9"/>
    <s v="12.404343"/>
    <s v="50.255877"/>
    <n v="420354596022"/>
    <x v="42"/>
    <s v="https://zsluby.edupage.org/"/>
    <x v="1"/>
    <x v="0"/>
  </r>
  <r>
    <n v="70987840"/>
    <x v="43"/>
    <s v="příspěvková organizace"/>
    <s v="veřejné"/>
    <s v="obec v Karlovarském kraji"/>
    <x v="0"/>
    <x v="1"/>
    <x v="0"/>
    <x v="0"/>
    <s v="ne"/>
    <s v="ne"/>
    <s v="ne"/>
    <s v="ne"/>
    <s v="Nový Kostel 84, 35134 Nový Kostel"/>
    <n v="554707"/>
    <x v="10"/>
    <s v="12.445659"/>
    <s v="50.216206"/>
    <n v="420725512132"/>
    <x v="43"/>
    <s v="https://www.skola-nk.cz/"/>
    <x v="1"/>
    <x v="0"/>
  </r>
  <r>
    <n v="75004852"/>
    <x v="44"/>
    <s v="příspěvková organizace"/>
    <s v="veřejné"/>
    <s v="obec v Karlovarském kraji"/>
    <x v="0"/>
    <x v="1"/>
    <x v="0"/>
    <x v="0"/>
    <s v="ne"/>
    <s v="ne"/>
    <s v="ne"/>
    <s v="ne"/>
    <s v="Lipová 128, 35002 Lipová"/>
    <n v="554626"/>
    <x v="11"/>
    <s v="12.446194"/>
    <s v="50.036337"/>
    <n v="420354593185"/>
    <x v="44"/>
    <s v="https://www.skolalipova.cz/"/>
    <x v="1"/>
    <x v="0"/>
  </r>
  <r>
    <n v="71010696"/>
    <x v="45"/>
    <s v="příspěvková organizace"/>
    <s v="veřejné"/>
    <s v="obec v Karlovarském kraji"/>
    <x v="0"/>
    <x v="1"/>
    <x v="0"/>
    <x v="0"/>
    <s v="ne"/>
    <s v="ne"/>
    <s v="ne"/>
    <s v="ne"/>
    <s v="Milhostov 69, 35002 Milhostov"/>
    <n v="554651"/>
    <x v="12"/>
    <s v="12.453552"/>
    <s v="50.157448"/>
    <n v="420352200579"/>
    <x v="45"/>
    <s v="http://www.zsamsmilhostov.cz/"/>
    <x v="1"/>
    <x v="0"/>
  </r>
  <r>
    <n v="71008799"/>
    <x v="46"/>
    <s v="příspěvková organizace"/>
    <s v="veřejné"/>
    <s v="obec v Karlovarském kraji"/>
    <x v="0"/>
    <x v="0"/>
    <x v="0"/>
    <x v="0"/>
    <s v="ne"/>
    <s v="ne"/>
    <s v="ne"/>
    <s v="ne"/>
    <s v="Okrouhlá 7, 35002 Cheb"/>
    <n v="554481"/>
    <x v="7"/>
    <s v="12.484918"/>
    <s v="50.061532"/>
    <n v="420354593159"/>
    <x v="46"/>
    <s v="https://msokrouhla.estranky.cz/"/>
    <x v="1"/>
    <x v="0"/>
  </r>
  <r>
    <n v="70984832"/>
    <x v="47"/>
    <s v="příspěvková organizace"/>
    <s v="veřejné"/>
    <s v="obec v Karlovarském kraji"/>
    <x v="0"/>
    <x v="0"/>
    <x v="0"/>
    <x v="0"/>
    <s v="ne"/>
    <s v="ne"/>
    <s v="ne"/>
    <s v="ne"/>
    <s v="Barvířská 1771, 35801 Kraslice"/>
    <n v="560472"/>
    <x v="13"/>
    <s v="12.50154"/>
    <s v="50.333413"/>
    <n v="420739456415"/>
    <x v="47"/>
    <s v="https://www.msbarvicka.cz/"/>
    <x v="2"/>
    <x v="1"/>
  </r>
  <r>
    <n v="70984859"/>
    <x v="48"/>
    <s v="příspěvková organizace"/>
    <s v="veřejné"/>
    <s v="obec v Karlovarském kraji"/>
    <x v="1"/>
    <x v="1"/>
    <x v="0"/>
    <x v="0"/>
    <s v="ne"/>
    <s v="ne"/>
    <s v="ne"/>
    <s v="ne"/>
    <s v="Opletalova 1121/1, 35801 Kraslice"/>
    <n v="560472"/>
    <x v="13"/>
    <s v="12.502529"/>
    <s v="50.334228"/>
    <n v="420352696631"/>
    <x v="48"/>
    <s v="https://www.zspskraslice.cz/"/>
    <x v="2"/>
    <x v="1"/>
  </r>
  <r>
    <n v="70984824"/>
    <x v="49"/>
    <s v="příspěvková organizace"/>
    <s v="veřejné"/>
    <s v="obec v Karlovarském kraji"/>
    <x v="0"/>
    <x v="0"/>
    <x v="0"/>
    <x v="0"/>
    <s v="ne"/>
    <s v="ne"/>
    <s v="ne"/>
    <s v="ne"/>
    <s v="B. Němcové 1685/10, 35801 Kraslice"/>
    <n v="560472"/>
    <x v="13"/>
    <s v="12.504634"/>
    <s v="50.335024"/>
    <n v="420352696496"/>
    <x v="49"/>
    <s v="https://msbnemcove.estranky.cz/"/>
    <x v="2"/>
    <x v="1"/>
  </r>
  <r>
    <n v="70984867"/>
    <x v="50"/>
    <s v="příspěvková organizace"/>
    <s v="veřejné"/>
    <s v="obec v Karlovarském kraji"/>
    <x v="1"/>
    <x v="0"/>
    <x v="0"/>
    <x v="0"/>
    <s v="ne"/>
    <s v="ano"/>
    <s v="ne"/>
    <s v="ne"/>
    <s v="Pohraniční stráže 67, 35801 Kraslice"/>
    <n v="560472"/>
    <x v="13"/>
    <s v="12.510445"/>
    <s v="50.328845"/>
    <n v="420352686338"/>
    <x v="50"/>
    <s v="https://www.zuskraslice.cz/"/>
    <x v="2"/>
    <x v="1"/>
  </r>
  <r>
    <n v="70984808"/>
    <x v="51"/>
    <s v="příspěvková organizace"/>
    <s v="veřejné"/>
    <s v="obec v Karlovarském kraji"/>
    <x v="0"/>
    <x v="0"/>
    <x v="0"/>
    <x v="0"/>
    <s v="ne"/>
    <s v="ne"/>
    <s v="ne"/>
    <s v="ne"/>
    <s v="Lipová cesta 1091/17, 35801 Kraslice"/>
    <n v="560472"/>
    <x v="13"/>
    <s v="12.515283"/>
    <s v="50.332573"/>
    <n v="420352696695"/>
    <x v="51"/>
    <s v="https://www.mszamecek.cz/"/>
    <x v="2"/>
    <x v="1"/>
  </r>
  <r>
    <n v="69979847"/>
    <x v="52"/>
    <s v="příspěvková organizace"/>
    <s v="veřejné"/>
    <s v="obec v Karlovarském kraji"/>
    <x v="0"/>
    <x v="1"/>
    <x v="1"/>
    <x v="0"/>
    <s v="ne"/>
    <s v="ne"/>
    <s v="ne"/>
    <s v="ne"/>
    <s v="Havlíčkova 1717, 35801 Kraslice"/>
    <n v="560472"/>
    <x v="13"/>
    <s v="12.515958"/>
    <s v="50.33237"/>
    <n v="420352686518"/>
    <x v="52"/>
    <s v="https://www.skolakraslice.cz/"/>
    <x v="2"/>
    <x v="1"/>
  </r>
  <r>
    <n v="70984841"/>
    <x v="53"/>
    <s v="příspěvková organizace"/>
    <s v="veřejné"/>
    <s v="obec v Karlovarském kraji"/>
    <x v="1"/>
    <x v="1"/>
    <x v="0"/>
    <x v="0"/>
    <s v="ne"/>
    <s v="ne"/>
    <s v="ne"/>
    <s v="ne"/>
    <s v="Dukelská 1122/53, 35801 Kraslice"/>
    <n v="560472"/>
    <x v="13"/>
    <s v="12.516058"/>
    <s v="50.324826"/>
    <n v="420352629760"/>
    <x v="53"/>
    <s v="https://www.zs2kraslice.cz/"/>
    <x v="2"/>
    <x v="1"/>
  </r>
  <r>
    <n v="69978573"/>
    <x v="54"/>
    <s v="příspěvková organizace"/>
    <s v="veřejné"/>
    <s v="obec v Karlovarském kraji"/>
    <x v="1"/>
    <x v="0"/>
    <x v="0"/>
    <x v="0"/>
    <s v="ne"/>
    <s v="ne"/>
    <s v="ano"/>
    <s v="ne"/>
    <s v="Havlíčkova 1286/59, 35801 Kraslice"/>
    <n v="560472"/>
    <x v="13"/>
    <s v="12.517335"/>
    <s v="50.332365"/>
    <n v="420352696620"/>
    <x v="54"/>
    <s v="https://www.ddmkraslice.cz/"/>
    <x v="2"/>
    <x v="1"/>
  </r>
  <r>
    <n v="70984816"/>
    <x v="55"/>
    <s v="příspěvková organizace"/>
    <s v="veřejné"/>
    <s v="obec v Karlovarském kraji"/>
    <x v="0"/>
    <x v="0"/>
    <x v="0"/>
    <x v="0"/>
    <s v="ne"/>
    <s v="ne"/>
    <s v="ne"/>
    <s v="ne"/>
    <s v="U Elektrárny 1777, 35801 Kraslice"/>
    <n v="560472"/>
    <x v="13"/>
    <s v="12.517819"/>
    <s v="50.319372"/>
    <n v="420352686205"/>
    <x v="55"/>
    <s v="https://www.msuelektrarny.cz/cs"/>
    <x v="2"/>
    <x v="1"/>
  </r>
  <r>
    <n v="70997284"/>
    <x v="56"/>
    <s v="příspěvková organizace"/>
    <s v="veřejné"/>
    <s v="obec v Karlovarském kraji"/>
    <x v="1"/>
    <x v="0"/>
    <x v="0"/>
    <x v="0"/>
    <s v="ne"/>
    <s v="ano"/>
    <s v="ne"/>
    <s v="ne"/>
    <s v="Sokolovská 511/29, 35751 Kynšperk nad Ohří"/>
    <n v="560499"/>
    <x v="14"/>
    <s v="12.53089"/>
    <s v="50.123627"/>
    <n v="420725054850"/>
    <x v="56"/>
    <s v="http://www.zuskynsperk.cz/"/>
    <x v="3"/>
    <x v="1"/>
  </r>
  <r>
    <n v="49766961"/>
    <x v="57"/>
    <s v="příspěvková organizace"/>
    <s v="veřejné"/>
    <s v="obec v Karlovarském kraji"/>
    <x v="0"/>
    <x v="0"/>
    <x v="0"/>
    <x v="0"/>
    <s v="ne"/>
    <s v="ne"/>
    <s v="ne"/>
    <s v="ne"/>
    <s v="U Pivovaru 367/3, 35751 Kynšperk nad Ohří"/>
    <n v="560499"/>
    <x v="14"/>
    <s v="12.53313"/>
    <s v="50.123196"/>
    <n v="420352693417"/>
    <x v="57"/>
    <s v="https://www.mskynsperk.cz/"/>
    <x v="3"/>
    <x v="1"/>
  </r>
  <r>
    <n v="69978883"/>
    <x v="58"/>
    <s v="příspěvková organizace"/>
    <s v="veřejné"/>
    <s v="obec v Karlovarském kraji"/>
    <x v="1"/>
    <x v="1"/>
    <x v="0"/>
    <x v="0"/>
    <s v="ne"/>
    <s v="ne"/>
    <s v="ne"/>
    <s v="ne"/>
    <s v="Jana A. Komenského 540/7, 35751 Kynšperk nad Ohří"/>
    <n v="560499"/>
    <x v="14"/>
    <s v="12.533253"/>
    <s v="50.118871"/>
    <n v="420352683135"/>
    <x v="58"/>
    <s v="http://www.zs-kynsperk.cz/"/>
    <x v="3"/>
    <x v="1"/>
  </r>
  <r>
    <n v="63531054"/>
    <x v="59"/>
    <s v="příspěvková organizace"/>
    <s v="veřejné"/>
    <s v="obec v Karlovarském kraji"/>
    <x v="0"/>
    <x v="0"/>
    <x v="0"/>
    <x v="0"/>
    <s v="ne"/>
    <s v="ne"/>
    <s v="ne"/>
    <s v="ne"/>
    <s v="Zahradní 385/3, 35751 Kynšperk nad Ohří"/>
    <n v="560499"/>
    <x v="14"/>
    <s v="12.534398"/>
    <s v="50.116323"/>
    <n v="420352683182"/>
    <x v="59"/>
    <s v="https://mskynsperk.estranky.cz/"/>
    <x v="3"/>
    <x v="1"/>
  </r>
  <r>
    <n v="69983534"/>
    <x v="60"/>
    <s v="příspěvková organizace"/>
    <s v="veřejné"/>
    <s v="obec v Karlovarském kraji"/>
    <x v="0"/>
    <x v="1"/>
    <x v="0"/>
    <x v="0"/>
    <s v="ne"/>
    <s v="ne"/>
    <s v="ne"/>
    <s v="ne"/>
    <s v="Krajková 22, 35708 Krajková"/>
    <n v="560456"/>
    <x v="15"/>
    <s v="12.535333"/>
    <s v="50.216153"/>
    <n v="420731118393"/>
    <x v="60"/>
    <s v="https://www.skola-krajkova.cz/"/>
    <x v="3"/>
    <x v="1"/>
  </r>
  <r>
    <n v="75006448"/>
    <x v="61"/>
    <s v="příspěvková organizace"/>
    <s v="veřejné"/>
    <s v="obec v Karlovarském kraji"/>
    <x v="0"/>
    <x v="0"/>
    <x v="0"/>
    <x v="0"/>
    <s v="ne"/>
    <s v="ne"/>
    <s v="ne"/>
    <s v="ne"/>
    <s v="Karla Čapka 769, 35709 Habartov"/>
    <n v="560359"/>
    <x v="16"/>
    <s v="12.545176"/>
    <s v="50.183753"/>
    <n v="420352682200"/>
    <x v="61"/>
    <s v="https://www.msduhova.cz/"/>
    <x v="3"/>
    <x v="1"/>
  </r>
  <r>
    <n v="75006502"/>
    <x v="62"/>
    <s v="příspěvková organizace"/>
    <s v="veřejné"/>
    <s v="obec v Karlovarském kraji"/>
    <x v="1"/>
    <x v="1"/>
    <x v="0"/>
    <x v="0"/>
    <s v="ne"/>
    <s v="ne"/>
    <s v="ne"/>
    <s v="ne"/>
    <s v="Karla Čapka 119, 35709 Habartov"/>
    <n v="560359"/>
    <x v="16"/>
    <s v="12.549779"/>
    <s v="50.184746"/>
    <n v="420352692547"/>
    <x v="62"/>
    <s v="https://www.mestohabartov.cz/zakladni-skola-habartov-karla-capka-119-okres-sokolov/os-1013"/>
    <x v="3"/>
    <x v="1"/>
  </r>
  <r>
    <n v="75006472"/>
    <x v="63"/>
    <s v="příspěvková organizace"/>
    <s v="veřejné"/>
    <s v="obec v Karlovarském kraji"/>
    <x v="1"/>
    <x v="0"/>
    <x v="0"/>
    <x v="0"/>
    <s v="ne"/>
    <s v="ano"/>
    <s v="ne"/>
    <s v="ne"/>
    <s v="Komenského 312, 35709 Habartov"/>
    <n v="560359"/>
    <x v="16"/>
    <s v="12.550302"/>
    <s v="50.179141"/>
    <n v="420721417161"/>
    <x v="63"/>
    <s v="https://www.zushabartov.cz/"/>
    <x v="3"/>
    <x v="1"/>
  </r>
  <r>
    <n v="75006456"/>
    <x v="64"/>
    <s v="příspěvková organizace"/>
    <s v="veřejné"/>
    <s v="obec v Karlovarském kraji"/>
    <x v="0"/>
    <x v="0"/>
    <x v="0"/>
    <x v="0"/>
    <s v="ne"/>
    <s v="ne"/>
    <s v="ne"/>
    <s v="ne"/>
    <s v="Okružní 111, 35709 Habartov"/>
    <n v="560359"/>
    <x v="16"/>
    <s v="12.551053"/>
    <s v="50.181376"/>
    <n v="420352682249"/>
    <x v="64"/>
    <s v="https://www.skolkahabartov.cz/"/>
    <x v="3"/>
    <x v="1"/>
  </r>
  <r>
    <n v="75005239"/>
    <x v="65"/>
    <s v="příspěvková organizace"/>
    <s v="veřejné"/>
    <s v="obec v Karlovarském kraji"/>
    <x v="0"/>
    <x v="1"/>
    <x v="0"/>
    <x v="0"/>
    <s v="ne"/>
    <s v="ne"/>
    <s v="ne"/>
    <s v="ne"/>
    <s v="Dolní Žandov 37, 35493 Dolní Žandov"/>
    <n v="554502"/>
    <x v="17"/>
    <s v="12.553422"/>
    <s v="50.017974"/>
    <n v="420739452181"/>
    <x v="65"/>
    <s v="http://zsdolnizandov.cz/"/>
    <x v="1"/>
    <x v="0"/>
  </r>
  <r>
    <n v="70995974"/>
    <x v="66"/>
    <s v="příspěvková organizace"/>
    <s v="veřejné"/>
    <s v="obec v Karlovarském kraji"/>
    <x v="0"/>
    <x v="1"/>
    <x v="0"/>
    <x v="0"/>
    <s v="ne"/>
    <s v="ne"/>
    <s v="ne"/>
    <s v="ne"/>
    <s v="Libavské Údolí 109, 35751 Kynšperk nad Ohří"/>
    <n v="560499"/>
    <x v="14"/>
    <s v="12.553433"/>
    <s v="50.126788"/>
    <n v="420604428231"/>
    <x v="66"/>
    <s v="https://www.zslu.cz/"/>
    <x v="3"/>
    <x v="1"/>
  </r>
  <r>
    <n v="70945128"/>
    <x v="67"/>
    <s v="příspěvková organizace"/>
    <s v="veřejné"/>
    <s v="obec v Karlovarském kraji"/>
    <x v="0"/>
    <x v="1"/>
    <x v="0"/>
    <x v="0"/>
    <s v="ne"/>
    <s v="ne"/>
    <s v="ne"/>
    <s v="ne"/>
    <s v="Nová Plzeň 673, 35701 Rotava"/>
    <n v="560600"/>
    <x v="18"/>
    <s v="12.559766"/>
    <s v="50.302436"/>
    <n v="420739455076"/>
    <x v="67"/>
    <s v="https://zsms.rotava.cz/"/>
    <x v="2"/>
    <x v="1"/>
  </r>
  <r>
    <n v="70980951"/>
    <x v="68"/>
    <s v="příspěvková organizace"/>
    <s v="veřejné"/>
    <s v="obec v Karlovarském kraji"/>
    <x v="0"/>
    <x v="1"/>
    <x v="0"/>
    <x v="0"/>
    <s v="ne"/>
    <s v="ne"/>
    <s v="ne"/>
    <s v="ne"/>
    <s v="Smetanova 1, 35707 Oloví"/>
    <n v="560588"/>
    <x v="19"/>
    <s v="12.560256"/>
    <s v="50.245479"/>
    <n v="420352673120"/>
    <x v="68"/>
    <s v="https://www.zsamsolovi.cz/"/>
    <x v="2"/>
    <x v="1"/>
  </r>
  <r>
    <n v="75006901"/>
    <x v="69"/>
    <s v="příspěvková organizace"/>
    <s v="veřejné"/>
    <s v="obec v Karlovarském kraji"/>
    <x v="1"/>
    <x v="1"/>
    <x v="0"/>
    <x v="0"/>
    <s v="ne"/>
    <s v="ne"/>
    <s v="ne"/>
    <s v="ne"/>
    <s v="Bukovany 146, 35755 Bukovany"/>
    <n v="560316"/>
    <x v="20"/>
    <s v="12.57288"/>
    <s v="50.162864"/>
    <n v="420352682163"/>
    <x v="69"/>
    <s v="https://www.zsbukovany.eu/"/>
    <x v="3"/>
    <x v="1"/>
  </r>
  <r>
    <n v="75006898"/>
    <x v="70"/>
    <s v="příspěvková organizace"/>
    <s v="veřejné"/>
    <s v="obec v Karlovarském kraji"/>
    <x v="0"/>
    <x v="0"/>
    <x v="0"/>
    <x v="0"/>
    <s v="ne"/>
    <s v="ne"/>
    <s v="ne"/>
    <s v="ne"/>
    <s v="Bukovany 145, 35755 Bukovany"/>
    <n v="560316"/>
    <x v="20"/>
    <s v="12.573856"/>
    <s v="50.162544"/>
    <n v="420352682181"/>
    <x v="70"/>
    <s v="https://www.ms-bukovany.cz/"/>
    <x v="3"/>
    <x v="1"/>
  </r>
  <r>
    <n v="70995982"/>
    <x v="71"/>
    <s v="příspěvková organizace"/>
    <s v="veřejné"/>
    <s v="obec v Karlovarském kraji"/>
    <x v="0"/>
    <x v="0"/>
    <x v="0"/>
    <x v="0"/>
    <s v="ne"/>
    <s v="ne"/>
    <s v="ne"/>
    <s v="ne"/>
    <s v="Šabina 80, 35601 Sokolov"/>
    <n v="560286"/>
    <x v="21"/>
    <s v="12.583547"/>
    <s v="50.135751"/>
    <n v="420352693231"/>
    <x v="71"/>
    <s v="https://ms-sabina.estranky.cz/clanky/o-nas/informace-o-materske-skole.html"/>
    <x v="3"/>
    <x v="1"/>
  </r>
  <r>
    <n v="70995796"/>
    <x v="72"/>
    <s v="příspěvková organizace"/>
    <s v="veřejné"/>
    <s v="obec v Karlovarském kraji"/>
    <x v="0"/>
    <x v="1"/>
    <x v="0"/>
    <x v="0"/>
    <s v="ne"/>
    <s v="ne"/>
    <s v="ne"/>
    <s v="ne"/>
    <s v="Stará Voda 125, 35301 Stará Voda"/>
    <n v="539112"/>
    <x v="22"/>
    <s v="12.594705"/>
    <s v="49.993039"/>
    <n v="420354691307"/>
    <x v="72"/>
    <s v="https://zsstaravoda.estranky.cz/"/>
    <x v="4"/>
    <x v="0"/>
  </r>
  <r>
    <n v="19277342"/>
    <x v="73"/>
    <s v="příspěvková organizace"/>
    <s v="veřejné"/>
    <s v="obec v Karlovarském kraji"/>
    <x v="0"/>
    <x v="1"/>
    <x v="0"/>
    <x v="0"/>
    <s v="ne"/>
    <s v="ne"/>
    <s v="ne"/>
    <s v="ne"/>
    <s v="Jindřichovice 232, 35801 Jindřichovice"/>
    <n v="560413"/>
    <x v="23"/>
    <s v="12.602613"/>
    <s v="50.281966"/>
    <n v="420702848275"/>
    <x v="73"/>
    <s v="https://skolajindrichovice.cz/"/>
    <x v="2"/>
    <x v="1"/>
  </r>
  <r>
    <n v="70978611"/>
    <x v="74"/>
    <s v="příspěvková organizace"/>
    <s v="veřejné"/>
    <s v="obec v Karlovarském kraji"/>
    <x v="0"/>
    <x v="1"/>
    <x v="0"/>
    <x v="0"/>
    <s v="ne"/>
    <s v="ne"/>
    <s v="ne"/>
    <s v="ne"/>
    <s v="Tři Sekery 79, 35473 Tři Sekery"/>
    <n v="554880"/>
    <x v="24"/>
    <s v="12.612733"/>
    <s v="49.942032"/>
    <n v="420354694680"/>
    <x v="74"/>
    <s v="https://www.zstrisekery.cz/"/>
    <x v="4"/>
    <x v="0"/>
  </r>
  <r>
    <n v="75007100"/>
    <x v="75"/>
    <s v="příspěvková organizace"/>
    <s v="veřejné"/>
    <s v="obec v Karlovarském kraji"/>
    <x v="0"/>
    <x v="0"/>
    <x v="0"/>
    <x v="0"/>
    <s v="ne"/>
    <s v="ne"/>
    <s v="ne"/>
    <s v="ne"/>
    <s v="Citice 200, 35601 Citice"/>
    <n v="560324"/>
    <x v="25"/>
    <s v="12.615559"/>
    <s v="50.158609"/>
    <n v="420775867594"/>
    <x v="75"/>
    <s v="https://www.mscitice.cz/"/>
    <x v="3"/>
    <x v="1"/>
  </r>
  <r>
    <n v="60610981"/>
    <x v="76"/>
    <s v="příspěvková organizace"/>
    <s v="veřejné"/>
    <s v="obec v Karlovarském kraji"/>
    <x v="0"/>
    <x v="1"/>
    <x v="0"/>
    <x v="0"/>
    <s v="ne"/>
    <s v="ne"/>
    <s v="ne"/>
    <s v="ne"/>
    <s v="K Rybníku 346, 35491 Lázně Kynžvart"/>
    <n v="554600"/>
    <x v="26"/>
    <s v="12.62662"/>
    <s v="50.006921"/>
    <n v="420354691209"/>
    <x v="76"/>
    <s v="https://www.zslk.cz/"/>
    <x v="4"/>
    <x v="0"/>
  </r>
  <r>
    <n v="75006928"/>
    <x v="77"/>
    <s v="příspěvková organizace"/>
    <s v="veřejné"/>
    <s v="obec v Karlovarském kraji"/>
    <x v="0"/>
    <x v="0"/>
    <x v="0"/>
    <x v="0"/>
    <s v="ne"/>
    <s v="ne"/>
    <s v="ne"/>
    <s v="ne"/>
    <s v="Kraslická 36, 35704 Lomnice"/>
    <n v="560545"/>
    <x v="27"/>
    <s v="12.630349"/>
    <s v="50.212089"/>
    <n v="420352600221"/>
    <x v="77"/>
    <s v="https://www.mslomnice.cz/"/>
    <x v="3"/>
    <x v="1"/>
  </r>
  <r>
    <n v="75006936"/>
    <x v="78"/>
    <s v="příspěvková organizace"/>
    <s v="veřejné"/>
    <s v="obec v Karlovarském kraji"/>
    <x v="1"/>
    <x v="1"/>
    <x v="0"/>
    <x v="0"/>
    <s v="ne"/>
    <s v="ne"/>
    <s v="ne"/>
    <s v="ne"/>
    <s v="Školní 234, 35601 Lomnice"/>
    <n v="560545"/>
    <x v="27"/>
    <s v="12.631071"/>
    <s v="50.211506"/>
    <n v="420352600231"/>
    <x v="78"/>
    <s v="https://www.lomnicezs.cz/"/>
    <x v="3"/>
    <x v="1"/>
  </r>
  <r>
    <n v="69978972"/>
    <x v="79"/>
    <s v="příspěvková organizace"/>
    <s v="veřejné"/>
    <s v="obec v Karlovarském kraji"/>
    <x v="1"/>
    <x v="0"/>
    <x v="0"/>
    <x v="0"/>
    <s v="ne"/>
    <s v="ano"/>
    <s v="ne"/>
    <s v="ne"/>
    <s v="Staré náměstí 37, 35601 Sokolov"/>
    <n v="560286"/>
    <x v="21"/>
    <s v="12.639671"/>
    <s v="50.181331"/>
    <n v="420727815051"/>
    <x v="79"/>
    <s v="https://www.zussokolov.cz/"/>
    <x v="3"/>
    <x v="1"/>
  </r>
  <r>
    <n v="60611677"/>
    <x v="80"/>
    <s v="příspěvková organizace"/>
    <s v="veřejné"/>
    <s v="obec v Karlovarském kraji"/>
    <x v="0"/>
    <x v="0"/>
    <x v="0"/>
    <x v="0"/>
    <s v="ne"/>
    <s v="ne"/>
    <s v="ne"/>
    <s v="ne"/>
    <s v="Vrchlického 80, 35601 Sokolov"/>
    <n v="560286"/>
    <x v="21"/>
    <s v="12.639916"/>
    <s v="50.178688"/>
    <n v="420359808401"/>
    <x v="80"/>
    <s v="https://msvrchlickeho.webnode.cz/"/>
    <x v="3"/>
    <x v="1"/>
  </r>
  <r>
    <n v="69978751"/>
    <x v="81"/>
    <s v="příspěvková organizace"/>
    <s v="veřejné"/>
    <s v="obec v Karlovarském kraji"/>
    <x v="1"/>
    <x v="1"/>
    <x v="0"/>
    <x v="0"/>
    <s v="ne"/>
    <s v="ne"/>
    <s v="ne"/>
    <s v="ne"/>
    <s v="Rokycanova 258, 35601 Sokolov"/>
    <n v="560286"/>
    <x v="21"/>
    <s v="12.642587"/>
    <s v="50.182034"/>
    <n v="420352324050"/>
    <x v="81"/>
    <s v="https://2zs.sokolov.cz/"/>
    <x v="3"/>
    <x v="1"/>
  </r>
  <r>
    <n v="75005794"/>
    <x v="82"/>
    <s v="příspěvková organizace"/>
    <s v="veřejné"/>
    <s v="obec v Karlovarském kraji"/>
    <x v="0"/>
    <x v="0"/>
    <x v="0"/>
    <x v="0"/>
    <s v="ne"/>
    <s v="ne"/>
    <s v="ne"/>
    <s v="ne"/>
    <s v="Komenského 11, 35761 Březová"/>
    <n v="560294"/>
    <x v="28"/>
    <s v="12.643175"/>
    <s v="50.14676"/>
    <n v="420352661338"/>
    <x v="82"/>
    <s v="https://skolka-komenskeho.cz/"/>
    <x v="3"/>
    <x v="1"/>
  </r>
  <r>
    <n v="75007185"/>
    <x v="83"/>
    <s v="příspěvková organizace"/>
    <s v="veřejné"/>
    <s v="obec v Karlovarském kraji"/>
    <x v="0"/>
    <x v="0"/>
    <x v="0"/>
    <x v="0"/>
    <s v="ne"/>
    <s v="ne"/>
    <s v="ne"/>
    <s v="ne"/>
    <s v="Šafaříkova 17, 35604 Dolní Rychnov"/>
    <n v="538591"/>
    <x v="29"/>
    <s v="12.644262"/>
    <s v="50.16419"/>
    <n v="420352628914"/>
    <x v="83"/>
    <s v="https://www.msdolnirychnov.cz/"/>
    <x v="3"/>
    <x v="1"/>
  </r>
  <r>
    <n v="70947902"/>
    <x v="84"/>
    <s v="příspěvková organizace"/>
    <s v="veřejné"/>
    <s v="obec v Karlovarském kraji"/>
    <x v="0"/>
    <x v="0"/>
    <x v="0"/>
    <x v="0"/>
    <s v="ne"/>
    <s v="ne"/>
    <s v="ne"/>
    <s v="ne"/>
    <s v="Vítězná 725, 35601 Sokolov"/>
    <n v="560286"/>
    <x v="21"/>
    <s v="12.64481"/>
    <s v="50.174863"/>
    <n v="420359808407"/>
    <x v="84"/>
    <s v="https://www.barevnyklicek.cz/"/>
    <x v="3"/>
    <x v="1"/>
  </r>
  <r>
    <n v="75005760"/>
    <x v="85"/>
    <s v="příspěvková organizace"/>
    <s v="veřejné"/>
    <s v="obec v Karlovarském kraji"/>
    <x v="1"/>
    <x v="1"/>
    <x v="0"/>
    <x v="0"/>
    <s v="ne"/>
    <s v="ne"/>
    <s v="ne"/>
    <s v="ne"/>
    <s v="Komenského 232, 35761 Březová"/>
    <n v="560294"/>
    <x v="28"/>
    <s v="12.645707"/>
    <s v="50.146118"/>
    <n v="420352633540"/>
    <x v="85"/>
    <s v="https://www.zs-brezova.cz/"/>
    <x v="3"/>
    <x v="1"/>
  </r>
  <r>
    <n v="69979073"/>
    <x v="86"/>
    <s v="příspěvková organizace"/>
    <s v="veřejné"/>
    <s v="obec v Karlovarském kraji"/>
    <x v="1"/>
    <x v="1"/>
    <x v="0"/>
    <x v="0"/>
    <s v="ne"/>
    <s v="ne"/>
    <s v="ne"/>
    <s v="ne"/>
    <s v="Pionýrů 1614, 35601 Sokolov"/>
    <n v="560286"/>
    <x v="21"/>
    <s v="12.645845"/>
    <s v="50.182094"/>
    <n v="420724396335"/>
    <x v="86"/>
    <s v="https://1zs-sokolov.cz/"/>
    <x v="3"/>
    <x v="1"/>
  </r>
  <r>
    <n v="69459924"/>
    <x v="87"/>
    <s v="příspěvková organizace"/>
    <s v="veřejné"/>
    <s v="obec v Karlovarském kraji"/>
    <x v="1"/>
    <x v="1"/>
    <x v="0"/>
    <x v="0"/>
    <s v="ne"/>
    <s v="ne"/>
    <s v="ne"/>
    <s v="ne"/>
    <s v="Běžecká 2055, 35601 Sokolov"/>
    <n v="560286"/>
    <x v="21"/>
    <s v="12.647605"/>
    <s v="50.171303"/>
    <n v="420352621321"/>
    <x v="87"/>
    <s v="https://www.zs-sokolov.cz/index.php?type=Post&amp;id=8"/>
    <x v="3"/>
    <x v="1"/>
  </r>
  <r>
    <n v="75005786"/>
    <x v="88"/>
    <s v="příspěvková organizace"/>
    <s v="veřejné"/>
    <s v="obec v Karlovarském kraji"/>
    <x v="0"/>
    <x v="0"/>
    <x v="0"/>
    <x v="0"/>
    <s v="ne"/>
    <s v="ne"/>
    <s v="ne"/>
    <s v="ne"/>
    <s v="Smetanova 218, 35761 Březová"/>
    <n v="560294"/>
    <x v="28"/>
    <s v="12.648239"/>
    <s v="50.145953"/>
    <n v="420352661336"/>
    <x v="88"/>
    <s v="https://ms-brezova.cz/"/>
    <x v="3"/>
    <x v="1"/>
  </r>
  <r>
    <n v="70834598"/>
    <x v="89"/>
    <s v="příspěvková organizace"/>
    <s v="veřejné"/>
    <s v="obec v Karlovarském kraji"/>
    <x v="0"/>
    <x v="0"/>
    <x v="0"/>
    <x v="0"/>
    <s v="ne"/>
    <s v="ne"/>
    <s v="ne"/>
    <s v="ne"/>
    <s v="Pionýrů 1344, 35601 Sokolov"/>
    <n v="560286"/>
    <x v="21"/>
    <s v="12.64886"/>
    <s v="50.181676"/>
    <n v="420359808403"/>
    <x v="89"/>
    <s v="https://www.nejskolka.cz/"/>
    <x v="3"/>
    <x v="1"/>
  </r>
  <r>
    <n v="60611693"/>
    <x v="90"/>
    <s v="příspěvková organizace"/>
    <s v="veřejné"/>
    <s v="obec v Karlovarském kraji"/>
    <x v="0"/>
    <x v="0"/>
    <x v="0"/>
    <x v="0"/>
    <s v="ne"/>
    <s v="ne"/>
    <s v="ne"/>
    <s v="ne"/>
    <s v="K. H. Borovského 1527, 35601 Sokolov"/>
    <n v="560286"/>
    <x v="21"/>
    <s v="12.650428"/>
    <s v="50.178614"/>
    <n v="420359808404"/>
    <x v="90"/>
    <s v="https://msborovskeho.cz/"/>
    <x v="3"/>
    <x v="1"/>
  </r>
  <r>
    <n v="71238930"/>
    <x v="91"/>
    <s v="příspěvková organizace"/>
    <s v="veřejné"/>
    <s v="obec v Karlovarském kraji"/>
    <x v="1"/>
    <x v="0"/>
    <x v="0"/>
    <x v="0"/>
    <s v="ne"/>
    <s v="ne"/>
    <s v="ano"/>
    <s v="ne"/>
    <s v="Spartakiádní 1937, 35601 Sokolov"/>
    <n v="560286"/>
    <x v="21"/>
    <s v="12.650551"/>
    <s v="50.171478"/>
    <n v="420352623368"/>
    <x v="91"/>
    <s v="https://www.ddmsokolov.cz/"/>
    <x v="3"/>
    <x v="1"/>
  </r>
  <r>
    <n v="70998221"/>
    <x v="92"/>
    <s v="příspěvková organizace"/>
    <s v="veřejné"/>
    <s v="obec v Karlovarském kraji"/>
    <x v="0"/>
    <x v="1"/>
    <x v="0"/>
    <x v="0"/>
    <s v="ne"/>
    <s v="ne"/>
    <s v="ne"/>
    <s v="ne"/>
    <s v="Školní 26, 35472 Drmoul"/>
    <n v="554511"/>
    <x v="30"/>
    <s v="12.664041"/>
    <s v="49.937096"/>
    <n v="420773756234"/>
    <x v="92"/>
    <s v="https://www.zsamsdrmoul.cz/cs/"/>
    <x v="4"/>
    <x v="0"/>
  </r>
  <r>
    <n v="66359180"/>
    <x v="93"/>
    <s v="příspěvková organizace"/>
    <s v="veřejné"/>
    <s v="obec v Karlovarském kraji"/>
    <x v="1"/>
    <x v="1"/>
    <x v="0"/>
    <x v="0"/>
    <s v="ne"/>
    <s v="ne"/>
    <s v="ne"/>
    <s v="ne"/>
    <s v="Křižíkova 1916, 35601 Sokolov"/>
    <n v="560286"/>
    <x v="21"/>
    <s v="12.665667"/>
    <s v="50.174528"/>
    <n v="420352626955"/>
    <x v="93"/>
    <s v="https://www.zs8so.cz/"/>
    <x v="3"/>
    <x v="1"/>
  </r>
  <r>
    <n v="70997187"/>
    <x v="94"/>
    <s v="příspěvková organizace"/>
    <s v="veřejné"/>
    <s v="obec v Karlovarském kraji"/>
    <x v="1"/>
    <x v="1"/>
    <x v="0"/>
    <x v="0"/>
    <s v="ne"/>
    <s v="ne"/>
    <s v="ne"/>
    <s v="ne"/>
    <s v="Pohraniční stráže 95, 35471 Velká Hleďsebe"/>
    <n v="539279"/>
    <x v="31"/>
    <s v="12.665795"/>
    <s v="49.962315"/>
    <n v="420354622534"/>
    <x v="94"/>
    <s v="https://www.zsvh.cz/"/>
    <x v="4"/>
    <x v="0"/>
  </r>
  <r>
    <n v="60611669"/>
    <x v="95"/>
    <s v="příspěvková organizace"/>
    <s v="veřejné"/>
    <s v="obec v Karlovarském kraji"/>
    <x v="0"/>
    <x v="0"/>
    <x v="0"/>
    <x v="0"/>
    <s v="ne"/>
    <s v="ne"/>
    <s v="ne"/>
    <s v="ne"/>
    <s v="Kosmonautů 1881, 35601 Sokolov"/>
    <n v="560286"/>
    <x v="21"/>
    <s v="12.666624"/>
    <s v="50.172321"/>
    <n v="420359808405"/>
    <x v="95"/>
    <s v="https://www.mskosmonautu.cz/"/>
    <x v="3"/>
    <x v="1"/>
  </r>
  <r>
    <n v="60611952"/>
    <x v="96"/>
    <s v="příspěvková organizace"/>
    <s v="veřejné"/>
    <s v="obec v Karlovarském kraji"/>
    <x v="0"/>
    <x v="1"/>
    <x v="0"/>
    <x v="0"/>
    <s v="ne"/>
    <s v="ne"/>
    <s v="ne"/>
    <s v="ne"/>
    <s v="Rovná 36, 35601 Rovná"/>
    <n v="560618"/>
    <x v="32"/>
    <s v="12.667248"/>
    <s v="50.104992"/>
    <n v="420734639749"/>
    <x v="96"/>
    <s v="https://www.skolarovna.cz/"/>
    <x v="3"/>
    <x v="1"/>
  </r>
  <r>
    <n v="60611685"/>
    <x v="97"/>
    <s v="příspěvková organizace"/>
    <s v="veřejné"/>
    <s v="obec v Karlovarském kraji"/>
    <x v="0"/>
    <x v="0"/>
    <x v="0"/>
    <x v="0"/>
    <s v="ne"/>
    <s v="ne"/>
    <s v="ne"/>
    <s v="ne"/>
    <s v="Marie Majerové 1650, 35601 Sokolov"/>
    <n v="560286"/>
    <x v="21"/>
    <s v="12.670755"/>
    <s v="50.175869"/>
    <n v="420359808406"/>
    <x v="97"/>
    <s v="https://www.mssomajerova.cz/"/>
    <x v="3"/>
    <x v="1"/>
  </r>
  <r>
    <n v="69979081"/>
    <x v="98"/>
    <s v="příspěvková organizace"/>
    <s v="veřejné"/>
    <s v="obec v Karlovarském kraji"/>
    <x v="1"/>
    <x v="1"/>
    <x v="0"/>
    <x v="0"/>
    <s v="ne"/>
    <s v="ne"/>
    <s v="ne"/>
    <s v="ne"/>
    <s v="Švabinského 1702, 35601 Sokolov"/>
    <n v="560286"/>
    <x v="21"/>
    <s v="12.671041"/>
    <s v="50.172971"/>
    <n v="420352623645"/>
    <x v="98"/>
    <s v="https://www.6zs-sokolov.cz/"/>
    <x v="3"/>
    <x v="1"/>
  </r>
  <r>
    <n v="60610441"/>
    <x v="99"/>
    <s v="příspěvková organizace"/>
    <s v="veřejné"/>
    <s v="obec v Karlovarském kraji"/>
    <x v="1"/>
    <x v="1"/>
    <x v="0"/>
    <x v="0"/>
    <s v="ne"/>
    <s v="ne"/>
    <s v="ne"/>
    <s v="ne"/>
    <s v="Dlouhá 63, 35741 Královské Poříčí"/>
    <n v="560464"/>
    <x v="33"/>
    <s v="12.672134"/>
    <s v="50.188069"/>
    <n v="420727894640"/>
    <x v="99"/>
    <s v="https://www.zskralovskeporici.cz/"/>
    <x v="3"/>
    <x v="1"/>
  </r>
  <r>
    <n v="60611651"/>
    <x v="100"/>
    <s v="příspěvková organizace"/>
    <s v="veřejné"/>
    <s v="obec v Karlovarském kraji"/>
    <x v="0"/>
    <x v="0"/>
    <x v="0"/>
    <x v="0"/>
    <s v="ne"/>
    <s v="ne"/>
    <s v="ne"/>
    <s v="ne"/>
    <s v="Alšova 1746, 35601 Sokolov"/>
    <n v="560286"/>
    <x v="21"/>
    <s v="12.673516"/>
    <s v="50.174131"/>
    <n v="420359808402"/>
    <x v="100"/>
    <s v="https://www.msalsovasokolov.cz/"/>
    <x v="3"/>
    <x v="1"/>
  </r>
  <r>
    <n v="70997195"/>
    <x v="101"/>
    <s v="příspěvková organizace"/>
    <s v="veřejné"/>
    <s v="obec v Karlovarském kraji"/>
    <x v="0"/>
    <x v="0"/>
    <x v="0"/>
    <x v="0"/>
    <s v="ne"/>
    <s v="ne"/>
    <s v="ne"/>
    <s v="ne"/>
    <s v="Tyršova 315, 35471 Velká Hleďsebe"/>
    <n v="539279"/>
    <x v="31"/>
    <s v="12.674368"/>
    <s v="49.960613"/>
    <n v="420354622635"/>
    <x v="101"/>
    <s v="https://www.msvelkahledsebe.cz/"/>
    <x v="4"/>
    <x v="0"/>
  </r>
  <r>
    <n v="70997179"/>
    <x v="102"/>
    <s v="příspěvková organizace"/>
    <s v="veřejné"/>
    <s v="obec v Karlovarském kraji"/>
    <x v="0"/>
    <x v="0"/>
    <x v="0"/>
    <x v="0"/>
    <s v="ne"/>
    <s v="ne"/>
    <s v="ne"/>
    <s v="ne"/>
    <s v="Klimentov 118, 35471 Velká Hleďsebe"/>
    <n v="539279"/>
    <x v="31"/>
    <s v="12.67481"/>
    <s v="49.964899"/>
    <n v="420354622277"/>
    <x v="102"/>
    <s v="https://www.msklimentov.cz/"/>
    <x v="4"/>
    <x v="0"/>
  </r>
  <r>
    <n v="69983569"/>
    <x v="103"/>
    <s v="příspěvková organizace"/>
    <s v="veřejné"/>
    <s v="obec v Karlovarském kraji"/>
    <x v="0"/>
    <x v="0"/>
    <x v="0"/>
    <x v="0"/>
    <s v="ne"/>
    <s v="ne"/>
    <s v="ne"/>
    <s v="ne"/>
    <s v="Lázeňská 86, 35741 Královské Poříčí"/>
    <n v="560464"/>
    <x v="33"/>
    <s v="12.679694"/>
    <s v="50.192851"/>
    <n v="420352628156"/>
    <x v="103"/>
    <s v="https://mskralovskeporici.estranky.cz/"/>
    <x v="3"/>
    <x v="1"/>
  </r>
  <r>
    <n v="71008331"/>
    <x v="104"/>
    <s v="příspěvková organizace"/>
    <s v="veřejné"/>
    <s v="obec v Karlovarském kraji"/>
    <x v="0"/>
    <x v="0"/>
    <x v="0"/>
    <x v="0"/>
    <s v="ne"/>
    <s v="ne"/>
    <s v="ne"/>
    <s v="ne"/>
    <s v="Trstěnice 104, 35301 Trstěnice"/>
    <n v="554855"/>
    <x v="34"/>
    <s v="12.680159"/>
    <s v="49.918774"/>
    <n v="420354671151"/>
    <x v="104"/>
    <s v="https://www.obectrstenice.cz/materska-skola-trstenice-okres-cheb/os-1001"/>
    <x v="4"/>
    <x v="0"/>
  </r>
  <r>
    <n v="47724978"/>
    <x v="105"/>
    <s v="příspěvková organizace"/>
    <s v="veřejné"/>
    <s v="obec v Karlovarském kraji"/>
    <x v="1"/>
    <x v="1"/>
    <x v="0"/>
    <x v="0"/>
    <s v="ne"/>
    <s v="ne"/>
    <s v="ne"/>
    <s v="ne"/>
    <s v="třída Vítězství 29/28, 35301 Mariánské Lázně"/>
    <n v="554642"/>
    <x v="35"/>
    <s v="12.685031"/>
    <s v="49.950415"/>
    <n v="420354673216"/>
    <x v="105"/>
    <s v="https://www.zsspec-ml.cz/"/>
    <x v="4"/>
    <x v="0"/>
  </r>
  <r>
    <n v="70997594"/>
    <x v="106"/>
    <s v="příspěvková organizace"/>
    <s v="veřejné"/>
    <s v="obec v Karlovarském kraji"/>
    <x v="0"/>
    <x v="0"/>
    <x v="0"/>
    <x v="0"/>
    <s v="ne"/>
    <s v="ne"/>
    <s v="ne"/>
    <s v="ne"/>
    <s v="Na Třešňovce 603, 35301 Mariánské Lázně"/>
    <n v="554642"/>
    <x v="35"/>
    <s v="12.69793"/>
    <s v="49.960039"/>
    <n v="420354625920"/>
    <x v="106"/>
    <s v="https://www.mstresnovka.cz/"/>
    <x v="4"/>
    <x v="0"/>
  </r>
  <r>
    <n v="47723505"/>
    <x v="107"/>
    <s v="příspěvková organizace"/>
    <s v="veřejné"/>
    <s v="obec v Karlovarském kraji"/>
    <x v="1"/>
    <x v="1"/>
    <x v="0"/>
    <x v="0"/>
    <s v="ne"/>
    <s v="ne"/>
    <s v="ne"/>
    <s v="ne"/>
    <s v="Komenského 459/1, 35301 Mariánské Lázně"/>
    <n v="554642"/>
    <x v="35"/>
    <s v="12.698856"/>
    <s v="49.962755"/>
    <n v="420353612008"/>
    <x v="107"/>
    <s v="https://www.skolajih.cz/"/>
    <x v="4"/>
    <x v="0"/>
  </r>
  <r>
    <n v="47721472"/>
    <x v="108"/>
    <s v="příspěvková organizace"/>
    <s v="veřejné"/>
    <s v="obec v Karlovarském kraji"/>
    <x v="1"/>
    <x v="0"/>
    <x v="0"/>
    <x v="0"/>
    <s v="ne"/>
    <s v="ano"/>
    <s v="ne"/>
    <s v="ne"/>
    <s v="Lužická 412/4, 35301 Mariánské Lázně"/>
    <n v="554642"/>
    <x v="35"/>
    <s v="12.700233"/>
    <s v="49.963192"/>
    <n v="420354625280"/>
    <x v="108"/>
    <s v="https://www.zus-ml.cz/"/>
    <x v="4"/>
    <x v="0"/>
  </r>
  <r>
    <n v="47723483"/>
    <x v="109"/>
    <s v="příspěvková organizace"/>
    <s v="veřejné"/>
    <s v="obec v Karlovarském kraji"/>
    <x v="0"/>
    <x v="0"/>
    <x v="0"/>
    <x v="0"/>
    <s v="ne"/>
    <s v="ne"/>
    <s v="ne"/>
    <s v="ne"/>
    <s v="Za Tratí 687/2, 35301 Mariánské Lázně"/>
    <n v="554642"/>
    <x v="35"/>
    <s v="12.701104"/>
    <s v="49.95297"/>
    <n v="420354622741"/>
    <x v="109"/>
    <s v="https://msvora.cz/cs"/>
    <x v="4"/>
    <x v="0"/>
  </r>
  <r>
    <n v="70997578"/>
    <x v="110"/>
    <s v="příspěvková organizace"/>
    <s v="veřejné"/>
    <s v="obec v Karlovarském kraji"/>
    <x v="0"/>
    <x v="0"/>
    <x v="0"/>
    <x v="0"/>
    <s v="ne"/>
    <s v="ne"/>
    <s v="ne"/>
    <s v="ne"/>
    <s v="Hlavní 440/37, 35301 Mariánské Lázně"/>
    <n v="554642"/>
    <x v="35"/>
    <s v="12.701531"/>
    <s v="49.962603"/>
    <n v="420354622050"/>
    <x v="110"/>
    <s v="https://www.mshlavni.cz/"/>
    <x v="4"/>
    <x v="0"/>
  </r>
  <r>
    <n v="70997560"/>
    <x v="111"/>
    <s v="příspěvková organizace"/>
    <s v="veřejné"/>
    <s v="obec v Karlovarském kraji"/>
    <x v="0"/>
    <x v="0"/>
    <x v="0"/>
    <x v="0"/>
    <s v="ne"/>
    <s v="ne"/>
    <s v="ne"/>
    <s v="ne"/>
    <s v="Křižíkova 555/5, 35301 Mariánské Lázně"/>
    <n v="554642"/>
    <x v="35"/>
    <s v="12.703565"/>
    <s v="49.961827"/>
    <n v="420354622692"/>
    <x v="111"/>
    <s v="https://ms-krizikova.cz/"/>
    <x v="4"/>
    <x v="0"/>
  </r>
  <r>
    <n v="70997543"/>
    <x v="112"/>
    <s v="příspěvková organizace"/>
    <s v="veřejné"/>
    <s v="obec v Karlovarském kraji"/>
    <x v="1"/>
    <x v="1"/>
    <x v="0"/>
    <x v="0"/>
    <s v="ne"/>
    <s v="ne"/>
    <s v="ne"/>
    <s v="ne"/>
    <s v="Školní náměstí 472/3, 35301 Mariánské Lázně"/>
    <n v="554642"/>
    <x v="35"/>
    <s v="12.708411"/>
    <s v="49.952807"/>
    <n v="420354624654"/>
    <x v="112"/>
    <s v="https://www.zsusovice.cz/"/>
    <x v="4"/>
    <x v="0"/>
  </r>
  <r>
    <n v="69979430"/>
    <x v="113"/>
    <s v="příspěvková organizace"/>
    <s v="veřejné"/>
    <s v="obec v Karlovarském kraji"/>
    <x v="1"/>
    <x v="0"/>
    <x v="0"/>
    <x v="0"/>
    <s v="ne"/>
    <s v="ne"/>
    <s v="ano"/>
    <s v="ne"/>
    <s v="17. listopadu 475/3, 35301 Mariánské Lázně"/>
    <n v="554642"/>
    <x v="35"/>
    <s v="12.710184"/>
    <s v="49.953799"/>
    <n v="420732145753"/>
    <x v="113"/>
    <s v="https://www.ddmml.cz/"/>
    <x v="4"/>
    <x v="0"/>
  </r>
  <r>
    <n v="70997586"/>
    <x v="114"/>
    <s v="příspěvková organizace"/>
    <s v="veřejné"/>
    <s v="obec v Karlovarském kraji"/>
    <x v="0"/>
    <x v="0"/>
    <x v="0"/>
    <x v="0"/>
    <s v="ne"/>
    <s v="ne"/>
    <s v="ne"/>
    <s v="ne"/>
    <s v="Skalníkova 518/11, 35301 Mariánské Lázně"/>
    <n v="554642"/>
    <x v="35"/>
    <s v="12.71108"/>
    <s v="49.94981"/>
    <n v="420354623993"/>
    <x v="114"/>
    <s v="https://msskalnikova.websnadno.cz/"/>
    <x v="4"/>
    <x v="0"/>
  </r>
  <r>
    <n v="60610557"/>
    <x v="115"/>
    <s v="příspěvková organizace"/>
    <s v="veřejné"/>
    <s v="obec v Karlovarském kraji"/>
    <x v="1"/>
    <x v="1"/>
    <x v="0"/>
    <x v="0"/>
    <s v="ne"/>
    <s v="ne"/>
    <s v="ne"/>
    <s v="ne"/>
    <s v="Zámecká 100, 35746 Staré Sedlo"/>
    <n v="560642"/>
    <x v="36"/>
    <s v="12.714918"/>
    <s v="50.183259"/>
    <n v="420352684066"/>
    <x v="115"/>
    <s v="https://msstaresedlo.estranky.cz/"/>
    <x v="3"/>
    <x v="1"/>
  </r>
  <r>
    <n v="60610689"/>
    <x v="116"/>
    <s v="příspěvková organizace"/>
    <s v="veřejné"/>
    <s v="obec v Karlovarském kraji"/>
    <x v="1"/>
    <x v="1"/>
    <x v="0"/>
    <x v="0"/>
    <s v="ne"/>
    <s v="ne"/>
    <s v="ne"/>
    <s v="ne"/>
    <s v="Vintířov 65, 35735 Vintířov"/>
    <n v="560685"/>
    <x v="37"/>
    <s v="12.716801"/>
    <s v="50.233641"/>
    <n v="420352665123"/>
    <x v="116"/>
    <s v="https://skolavintirov.cz/"/>
    <x v="3"/>
    <x v="1"/>
  </r>
  <r>
    <n v="60610697"/>
    <x v="117"/>
    <s v="příspěvková organizace"/>
    <s v="veřejné"/>
    <s v="obec v Karlovarském kraji"/>
    <x v="0"/>
    <x v="0"/>
    <x v="0"/>
    <x v="0"/>
    <s v="ne"/>
    <s v="ne"/>
    <s v="ne"/>
    <s v="ne"/>
    <s v="Vintířov 170, 35744 Vintířov"/>
    <n v="560685"/>
    <x v="37"/>
    <s v="12.718559"/>
    <s v="50.232233"/>
    <n v="420352665900"/>
    <x v="117"/>
    <s v="https://www.materska-skola-vintirov.cz/"/>
    <x v="3"/>
    <x v="1"/>
  </r>
  <r>
    <n v="73729019"/>
    <x v="118"/>
    <s v="příspěvková organizace"/>
    <s v="veřejné"/>
    <s v="obec v Karlovarském kraji"/>
    <x v="0"/>
    <x v="0"/>
    <x v="0"/>
    <x v="0"/>
    <s v="ne"/>
    <s v="ne"/>
    <s v="ne"/>
    <s v="ne"/>
    <s v="Husova 547, 36221 Nejdek"/>
    <n v="555380"/>
    <x v="38"/>
    <s v="12.725603"/>
    <s v="50.321326"/>
    <n v="420353925117"/>
    <x v="118"/>
    <s v="https://www.msnejdekhusova.cz/"/>
    <x v="5"/>
    <x v="2"/>
  </r>
  <r>
    <n v="73728977"/>
    <x v="119"/>
    <s v="příspěvková organizace"/>
    <s v="veřejné"/>
    <s v="obec v Karlovarském kraji"/>
    <x v="0"/>
    <x v="0"/>
    <x v="0"/>
    <x v="0"/>
    <s v="ne"/>
    <s v="ne"/>
    <s v="ne"/>
    <s v="ne"/>
    <s v="Závodu míru 1247, 36221 Nejdek"/>
    <n v="555380"/>
    <x v="38"/>
    <s v="12.729458"/>
    <s v="50.327232"/>
    <n v="420353034250"/>
    <x v="119"/>
    <s v="https://msnejdek.cz/"/>
    <x v="5"/>
    <x v="2"/>
  </r>
  <r>
    <n v="60611049"/>
    <x v="120"/>
    <s v="příspěvková organizace"/>
    <s v="veřejné"/>
    <s v="obec v Karlovarském kraji"/>
    <x v="1"/>
    <x v="1"/>
    <x v="0"/>
    <x v="0"/>
    <s v="ne"/>
    <s v="ne"/>
    <s v="ne"/>
    <s v="ne"/>
    <s v="náměstí Karla IV. 423, 36221 Nejdek"/>
    <n v="555380"/>
    <x v="38"/>
    <s v="12.730085"/>
    <s v="50.322196"/>
    <n v="420353825581"/>
    <x v="120"/>
    <s v="https://www.zsnejnam.cz/"/>
    <x v="5"/>
    <x v="2"/>
  </r>
  <r>
    <n v="63555557"/>
    <x v="121"/>
    <s v="příspěvková organizace"/>
    <s v="veřejné"/>
    <s v="obec v Karlovarském kraji"/>
    <x v="1"/>
    <x v="0"/>
    <x v="0"/>
    <x v="0"/>
    <s v="ne"/>
    <s v="ano"/>
    <s v="ne"/>
    <s v="ne"/>
    <s v="Dvořákova 367, 36221 Nejdek"/>
    <n v="555380"/>
    <x v="38"/>
    <s v="12.731671"/>
    <s v="50.324985"/>
    <n v="420353925125"/>
    <x v="121"/>
    <s v="https://zusnejdek.cz/"/>
    <x v="5"/>
    <x v="2"/>
  </r>
  <r>
    <n v="73728969"/>
    <x v="122"/>
    <s v="příspěvková organizace"/>
    <s v="veřejné"/>
    <s v="obec v Karlovarském kraji"/>
    <x v="0"/>
    <x v="0"/>
    <x v="0"/>
    <x v="0"/>
    <s v="ne"/>
    <s v="ne"/>
    <s v="ne"/>
    <s v="ne"/>
    <s v="Nerudova 930, 36221 Nejdek"/>
    <n v="555380"/>
    <x v="38"/>
    <s v="12.73373"/>
    <s v="50.323824"/>
    <n v="420353925081"/>
    <x v="122"/>
    <s v="https://www.skolkakrizak.cz/"/>
    <x v="5"/>
    <x v="2"/>
  </r>
  <r>
    <n v="60610565"/>
    <x v="123"/>
    <s v="příspěvková organizace"/>
    <s v="veřejné"/>
    <s v="obec v Karlovarském kraji"/>
    <x v="0"/>
    <x v="1"/>
    <x v="0"/>
    <x v="0"/>
    <s v="ne"/>
    <s v="ne"/>
    <s v="ne"/>
    <s v="ne"/>
    <s v="Potůčky 94, 36238 Potůčky"/>
    <n v="555479"/>
    <x v="39"/>
    <s v="12.737945"/>
    <s v="50.427836"/>
    <n v="420776249813"/>
    <x v="123"/>
    <s v="https://www.zspotucky.cz/"/>
    <x v="6"/>
    <x v="2"/>
  </r>
  <r>
    <n v="70980896"/>
    <x v="124"/>
    <s v="příspěvková organizace"/>
    <s v="veřejné"/>
    <s v="obec v Karlovarském kraji"/>
    <x v="1"/>
    <x v="1"/>
    <x v="0"/>
    <x v="0"/>
    <s v="ne"/>
    <s v="ne"/>
    <s v="ne"/>
    <s v="ne"/>
    <s v="Masarykova 425, 35734 Nové Sedlo"/>
    <n v="560570"/>
    <x v="40"/>
    <s v="12.739108"/>
    <s v="50.20737"/>
    <n v="420352669339"/>
    <x v="124"/>
    <s v="https://www.zs-mestonovesedlo.cz/"/>
    <x v="3"/>
    <x v="1"/>
  </r>
  <r>
    <n v="70984239"/>
    <x v="125"/>
    <s v="příspěvková organizace"/>
    <s v="veřejné"/>
    <s v="obec v Karlovarském kraji"/>
    <x v="0"/>
    <x v="0"/>
    <x v="0"/>
    <x v="0"/>
    <s v="ne"/>
    <s v="ne"/>
    <s v="ne"/>
    <s v="ne"/>
    <s v="Sportovní 561, 35733 Loket"/>
    <n v="560537"/>
    <x v="41"/>
    <s v="12.740007"/>
    <s v="50.192342"/>
    <n v="420352684022"/>
    <x v="125"/>
    <s v="https://msloket.cz/"/>
    <x v="3"/>
    <x v="1"/>
  </r>
  <r>
    <n v="70980918"/>
    <x v="126"/>
    <s v="příspěvková organizace"/>
    <s v="veřejné"/>
    <s v="obec v Karlovarském kraji"/>
    <x v="0"/>
    <x v="0"/>
    <x v="0"/>
    <x v="0"/>
    <s v="ne"/>
    <s v="ne"/>
    <s v="ne"/>
    <s v="ne"/>
    <s v="Sklářská 510, 35734 Nové Sedlo"/>
    <n v="560570"/>
    <x v="40"/>
    <s v="12.742569"/>
    <s v="50.210018"/>
    <n v="420352669338"/>
    <x v="126"/>
    <s v="https://www.msnovesedlo.cz/"/>
    <x v="3"/>
    <x v="1"/>
  </r>
  <r>
    <n v="60610239"/>
    <x v="127"/>
    <s v="příspěvková organizace"/>
    <s v="veřejné"/>
    <s v="obec v Karlovarském kraji"/>
    <x v="1"/>
    <x v="1"/>
    <x v="0"/>
    <x v="0"/>
    <s v="ne"/>
    <s v="ne"/>
    <s v="ne"/>
    <s v="ne"/>
    <s v="Školní 697, 35735 Chodov"/>
    <n v="560383"/>
    <x v="42"/>
    <s v="12.742939"/>
    <s v="50.241344"/>
    <n v="420352352292"/>
    <x v="127"/>
    <s v="https://zs2chodov.cz/"/>
    <x v="3"/>
    <x v="1"/>
  </r>
  <r>
    <n v="70976368"/>
    <x v="128"/>
    <s v="příspěvková organizace"/>
    <s v="veřejné"/>
    <s v="obec v Karlovarském kraji"/>
    <x v="1"/>
    <x v="1"/>
    <x v="0"/>
    <x v="0"/>
    <s v="ne"/>
    <s v="ne"/>
    <s v="ne"/>
    <s v="ne"/>
    <s v="Husova 788, 35735 Chodov"/>
    <n v="560383"/>
    <x v="42"/>
    <s v="12.743211"/>
    <s v="50.244745"/>
    <n v="420352352490"/>
    <x v="128"/>
    <s v="https://zs3chodov.cz/"/>
    <x v="3"/>
    <x v="1"/>
  </r>
  <r>
    <n v="73728985"/>
    <x v="129"/>
    <s v="příspěvková organizace"/>
    <s v="veřejné"/>
    <s v="obec v Karlovarském kraji"/>
    <x v="0"/>
    <x v="0"/>
    <x v="0"/>
    <x v="0"/>
    <s v="ne"/>
    <s v="ne"/>
    <s v="ne"/>
    <s v="ne"/>
    <s v="Lipová 1192, 36222 Nejdek"/>
    <n v="555380"/>
    <x v="38"/>
    <s v="12.743419"/>
    <s v="50.318117"/>
    <n v="420353825274"/>
    <x v="129"/>
    <s v="https://www.ms-lipova-nejdek.cz/"/>
    <x v="5"/>
    <x v="2"/>
  </r>
  <r>
    <n v="60610204"/>
    <x v="130"/>
    <s v="příspěvková organizace"/>
    <s v="veřejné"/>
    <s v="obec v Karlovarském kraji"/>
    <x v="0"/>
    <x v="0"/>
    <x v="0"/>
    <x v="0"/>
    <s v="ne"/>
    <s v="ne"/>
    <s v="ne"/>
    <s v="ne"/>
    <s v="Nerudova 915, 35735 Chodov"/>
    <n v="560383"/>
    <x v="42"/>
    <s v="12.744442"/>
    <s v="50.236807"/>
    <n v="420352352480"/>
    <x v="130"/>
    <s v="https://mschodov.cz/"/>
    <x v="3"/>
    <x v="1"/>
  </r>
  <r>
    <n v="70976350"/>
    <x v="131"/>
    <s v="příspěvková organizace"/>
    <s v="veřejné"/>
    <s v="obec v Karlovarském kraji"/>
    <x v="1"/>
    <x v="0"/>
    <x v="0"/>
    <x v="0"/>
    <s v="ne"/>
    <s v="ne"/>
    <s v="ano"/>
    <s v="ne"/>
    <s v="Husova 263, 35735 Chodov"/>
    <n v="560383"/>
    <x v="42"/>
    <s v="12.744696"/>
    <s v="50.241939"/>
    <n v="420352352280"/>
    <x v="131"/>
    <s v="https://ddmchodov.cz/"/>
    <x v="3"/>
    <x v="1"/>
  </r>
  <r>
    <n v="60611057"/>
    <x v="132"/>
    <s v="příspěvková organizace"/>
    <s v="veřejné"/>
    <s v="obec v Karlovarském kraji"/>
    <x v="1"/>
    <x v="1"/>
    <x v="0"/>
    <x v="0"/>
    <s v="ne"/>
    <s v="ne"/>
    <s v="ne"/>
    <s v="ne"/>
    <s v="Karlovarská 1189, 36222 Nejdek"/>
    <n v="555380"/>
    <x v="38"/>
    <s v="12.745632"/>
    <s v="50.319335"/>
    <n v="420353825039"/>
    <x v="132"/>
    <s v="https://www.zskarlovarska.cz/"/>
    <x v="5"/>
    <x v="2"/>
  </r>
  <r>
    <n v="60610247"/>
    <x v="133"/>
    <s v="příspěvková organizace"/>
    <s v="veřejné"/>
    <s v="obec v Karlovarském kraji"/>
    <x v="1"/>
    <x v="1"/>
    <x v="0"/>
    <x v="0"/>
    <s v="ne"/>
    <s v="ne"/>
    <s v="ne"/>
    <s v="ne"/>
    <s v="Smetanova 738, 35735 Chodov"/>
    <n v="560383"/>
    <x v="42"/>
    <s v="12.745705"/>
    <s v="50.241546"/>
    <n v="420352352192"/>
    <x v="133"/>
    <s v="https://www.zschodov.cz/"/>
    <x v="3"/>
    <x v="1"/>
  </r>
  <r>
    <n v="70976341"/>
    <x v="134"/>
    <s v="příspěvková organizace"/>
    <s v="veřejné"/>
    <s v="obec v Karlovarském kraji"/>
    <x v="1"/>
    <x v="0"/>
    <x v="0"/>
    <x v="0"/>
    <s v="ne"/>
    <s v="ano"/>
    <s v="ne"/>
    <s v="ne"/>
    <s v="Dukelských hrdinů 338, 35735 Chodov"/>
    <n v="560383"/>
    <x v="42"/>
    <s v="12.747213"/>
    <s v="50.239251"/>
    <n v="420352352352"/>
    <x v="134"/>
    <s v="https://www.zus-chodov.cz/"/>
    <x v="3"/>
    <x v="1"/>
  </r>
  <r>
    <n v="21696063"/>
    <x v="135"/>
    <s v="příspěvková organizace"/>
    <s v="veřejné"/>
    <s v="obec v Karlovarském kraji"/>
    <x v="1"/>
    <x v="0"/>
    <x v="1"/>
    <x v="0"/>
    <s v="ne"/>
    <s v="ne"/>
    <s v="ne"/>
    <s v="ne"/>
    <s v="Komenského 273, 35735 Chodov"/>
    <n v="560383"/>
    <x v="42"/>
    <s v="12.749481"/>
    <s v="50.239075"/>
    <n v="420732627045"/>
    <x v="135"/>
    <s v="https://avantechchodov.cz/"/>
    <x v="3"/>
    <x v="1"/>
  </r>
  <r>
    <n v="70984221"/>
    <x v="136"/>
    <s v="příspěvková organizace"/>
    <s v="veřejné"/>
    <s v="obec v Karlovarském kraji"/>
    <x v="1"/>
    <x v="1"/>
    <x v="0"/>
    <x v="0"/>
    <s v="ne"/>
    <s v="ne"/>
    <s v="ne"/>
    <s v="ne"/>
    <s v="T. G. Masaryka 128/2, 35733 Loket"/>
    <n v="560537"/>
    <x v="41"/>
    <s v="12.755681"/>
    <s v="50.187507"/>
    <n v="420602259764"/>
    <x v="136"/>
    <s v="https://www.zsloket.cz/"/>
    <x v="3"/>
    <x v="1"/>
  </r>
  <r>
    <n v="69983160"/>
    <x v="137"/>
    <s v="příspěvková organizace"/>
    <s v="veřejné"/>
    <s v="obec v Karlovarském kraji"/>
    <x v="0"/>
    <x v="1"/>
    <x v="0"/>
    <x v="0"/>
    <s v="ne"/>
    <s v="ne"/>
    <s v="ne"/>
    <s v="ne"/>
    <s v="Božičany 76, 36226 Božičany"/>
    <n v="555045"/>
    <x v="43"/>
    <s v="12.769435"/>
    <s v="50.258257"/>
    <n v="420736629544"/>
    <x v="137"/>
    <s v="https://zsamsbozicany.cz/cs"/>
    <x v="5"/>
    <x v="2"/>
  </r>
  <r>
    <n v="60610590"/>
    <x v="138"/>
    <s v="příspěvková organizace"/>
    <s v="veřejné"/>
    <s v="obec v Karlovarském kraji"/>
    <x v="0"/>
    <x v="1"/>
    <x v="0"/>
    <x v="0"/>
    <s v="ne"/>
    <s v="ne"/>
    <s v="ne"/>
    <s v="ne"/>
    <s v="Komenského 261, 36237 Horní Blatná"/>
    <n v="555169"/>
    <x v="44"/>
    <s v="12.773878"/>
    <s v="50.390433"/>
    <n v="420739572093"/>
    <x v="138"/>
    <s v="https://zsamshb.cz/"/>
    <x v="6"/>
    <x v="2"/>
  </r>
  <r>
    <n v="70939454"/>
    <x v="139"/>
    <s v="příspěvková organizace"/>
    <s v="veřejné"/>
    <s v="obec v Karlovarském kraji"/>
    <x v="1"/>
    <x v="1"/>
    <x v="0"/>
    <x v="0"/>
    <s v="ne"/>
    <s v="ne"/>
    <s v="ne"/>
    <s v="ne"/>
    <s v="Školní 232/2, 36225 Nová Role"/>
    <n v="555398"/>
    <x v="45"/>
    <s v="12.783596"/>
    <s v="50.270924"/>
    <n v="420774362251"/>
    <x v="139"/>
    <s v="https://www.zsnovarole.cz/"/>
    <x v="5"/>
    <x v="2"/>
  </r>
  <r>
    <n v="75042151"/>
    <x v="140"/>
    <s v="příspěvková organizace"/>
    <s v="veřejné"/>
    <s v="obec v Karlovarském kraji"/>
    <x v="1"/>
    <x v="0"/>
    <x v="0"/>
    <x v="0"/>
    <s v="ne"/>
    <s v="ne"/>
    <s v="ano"/>
    <s v="ne"/>
    <s v="Chodovská 236/6, 36225 Nová Role"/>
    <n v="555398"/>
    <x v="45"/>
    <s v="12.784168"/>
    <s v="50.270456"/>
    <n v="420353851172"/>
    <x v="140"/>
    <s v="https://www.ddmnovarole.cz/"/>
    <x v="5"/>
    <x v="2"/>
  </r>
  <r>
    <n v="6134238"/>
    <x v="141"/>
    <s v="příspěvková organizace"/>
    <s v="veřejné"/>
    <s v="obec v Karlovarském kraji"/>
    <x v="1"/>
    <x v="0"/>
    <x v="0"/>
    <x v="0"/>
    <s v="ne"/>
    <s v="ano"/>
    <s v="ne"/>
    <s v="ne"/>
    <s v="Chodovská 236/6, 36225 Nová Role"/>
    <n v="555398"/>
    <x v="45"/>
    <s v="12.784168"/>
    <s v="50.270456"/>
    <n v="420725925089"/>
    <x v="141"/>
    <s v="https://www.zusnovarole.cz/"/>
    <x v="5"/>
    <x v="2"/>
  </r>
  <r>
    <n v="47701617"/>
    <x v="142"/>
    <s v="příspěvková organizace"/>
    <s v="veřejné"/>
    <s v="obec v Karlovarském kraji"/>
    <x v="0"/>
    <x v="1"/>
    <x v="0"/>
    <x v="0"/>
    <s v="ne"/>
    <s v="ne"/>
    <s v="ne"/>
    <s v="ne"/>
    <s v="Karlovarská 118, 36236 Pernink"/>
    <n v="555452"/>
    <x v="46"/>
    <s v="12.784424"/>
    <s v="50.364921"/>
    <n v="420353892213"/>
    <x v="142"/>
    <s v="https://www.zsamspernink.cz/"/>
    <x v="6"/>
    <x v="2"/>
  </r>
  <r>
    <n v="70939837"/>
    <x v="143"/>
    <s v="příspěvková organizace"/>
    <s v="veřejné"/>
    <s v="obec v Karlovarském kraji"/>
    <x v="0"/>
    <x v="0"/>
    <x v="0"/>
    <x v="0"/>
    <s v="ne"/>
    <s v="ne"/>
    <s v="ne"/>
    <s v="ne"/>
    <s v="Rolavská 234/16, 36225 Nová Role"/>
    <n v="555398"/>
    <x v="45"/>
    <s v="12.784471"/>
    <s v="50.273037"/>
    <n v="420604675381"/>
    <x v="143"/>
    <s v="https://msnovarole.cz/"/>
    <x v="5"/>
    <x v="2"/>
  </r>
  <r>
    <n v="71012621"/>
    <x v="144"/>
    <s v="příspěvková organizace"/>
    <s v="veřejné"/>
    <s v="obec v Karlovarském kraji"/>
    <x v="0"/>
    <x v="0"/>
    <x v="0"/>
    <x v="0"/>
    <s v="ne"/>
    <s v="ne"/>
    <s v="ne"/>
    <s v="ne"/>
    <s v="Kladenská 210, 35747 Krásno"/>
    <n v="538337"/>
    <x v="47"/>
    <s v="12.790398"/>
    <s v="50.111095"/>
    <n v="420739456402"/>
    <x v="144"/>
    <s v="https://www.mskrasno.cz/"/>
    <x v="3"/>
    <x v="1"/>
  </r>
  <r>
    <n v="75005484"/>
    <x v="145"/>
    <s v="příspěvková organizace"/>
    <s v="veřejné"/>
    <s v="obec v Karlovarském kraji"/>
    <x v="1"/>
    <x v="1"/>
    <x v="0"/>
    <x v="0"/>
    <s v="ne"/>
    <s v="ne"/>
    <s v="ne"/>
    <s v="ne"/>
    <s v="Školní 786, 35731 Horní Slavkov"/>
    <n v="560367"/>
    <x v="48"/>
    <s v="12.793452"/>
    <s v="50.136599"/>
    <n v="420352688480"/>
    <x v="145"/>
    <s v="https://www.hornislavkov.cz/mesto/mestske-organizace/skoly-a-skolska-zarizeni-/"/>
    <x v="3"/>
    <x v="1"/>
  </r>
  <r>
    <n v="75005506"/>
    <x v="146"/>
    <s v="příspěvková organizace"/>
    <s v="veřejné"/>
    <s v="obec v Karlovarském kraji"/>
    <x v="0"/>
    <x v="0"/>
    <x v="0"/>
    <x v="0"/>
    <s v="ne"/>
    <s v="ne"/>
    <s v="ne"/>
    <s v="ne"/>
    <s v="Sportovní 713, 35731 Horní Slavkov"/>
    <n v="560367"/>
    <x v="48"/>
    <s v="12.795289"/>
    <s v="50.139244"/>
    <n v="420352688293"/>
    <x v="146"/>
    <s v="https://mssportovni.estranky.cz/"/>
    <x v="3"/>
    <x v="1"/>
  </r>
  <r>
    <n v="75005441"/>
    <x v="147"/>
    <s v="příspěvková organizace"/>
    <s v="veřejné"/>
    <s v="obec v Karlovarském kraji"/>
    <x v="1"/>
    <x v="0"/>
    <x v="0"/>
    <x v="0"/>
    <s v="ne"/>
    <s v="ne"/>
    <s v="ano"/>
    <s v="ano"/>
    <s v="Poštovní 662/4, 35731 Horní Slavkov"/>
    <n v="560367"/>
    <x v="48"/>
    <s v="12.799264"/>
    <s v="50.137439"/>
    <n v="420352688435"/>
    <x v="147"/>
    <s v="http://www.ddmhornislavkov.cz/"/>
    <x v="3"/>
    <x v="1"/>
  </r>
  <r>
    <n v="75005492"/>
    <x v="148"/>
    <s v="příspěvková organizace"/>
    <s v="veřejné"/>
    <s v="obec v Karlovarském kraji"/>
    <x v="0"/>
    <x v="0"/>
    <x v="0"/>
    <x v="0"/>
    <s v="ne"/>
    <s v="ne"/>
    <s v="ne"/>
    <s v="ne"/>
    <s v="Dlouhá 620/1, 35731 Horní Slavkov"/>
    <n v="560367"/>
    <x v="48"/>
    <s v="12.803228"/>
    <s v="50.138554"/>
    <n v="420352688416"/>
    <x v="148"/>
    <s v="https://www.ms-uslunicka.cz/cs"/>
    <x v="3"/>
    <x v="1"/>
  </r>
  <r>
    <n v="75005476"/>
    <x v="149"/>
    <s v="příspěvková organizace"/>
    <s v="veřejné"/>
    <s v="obec v Karlovarském kraji"/>
    <x v="1"/>
    <x v="1"/>
    <x v="0"/>
    <x v="0"/>
    <s v="ne"/>
    <s v="ne"/>
    <s v="ne"/>
    <s v="ne"/>
    <s v="Nádražní 683, 35731 Horní Slavkov"/>
    <n v="560367"/>
    <x v="48"/>
    <s v="12.80697"/>
    <s v="50.139858"/>
    <n v="420354229702"/>
    <x v="149"/>
    <s v="https://www.zsnadraznihornislavkov.cz/"/>
    <x v="3"/>
    <x v="1"/>
  </r>
  <r>
    <n v="75005450"/>
    <x v="150"/>
    <s v="příspěvková organizace"/>
    <s v="veřejné"/>
    <s v="obec v Karlovarském kraji"/>
    <x v="1"/>
    <x v="0"/>
    <x v="0"/>
    <x v="0"/>
    <s v="ne"/>
    <s v="ano"/>
    <s v="ne"/>
    <s v="ne"/>
    <s v="Školní náměstí 214, 35731 Horní Slavkov"/>
    <n v="560367"/>
    <x v="48"/>
    <s v="12.808725"/>
    <s v="50.139742"/>
    <n v="420728342693"/>
    <x v="150"/>
    <s v="https://www.zushslavkov.cz/"/>
    <x v="3"/>
    <x v="1"/>
  </r>
  <r>
    <n v="60610832"/>
    <x v="151"/>
    <s v="příspěvková organizace"/>
    <s v="veřejné"/>
    <s v="obec v Karlovarském kraji"/>
    <x v="0"/>
    <x v="1"/>
    <x v="0"/>
    <x v="0"/>
    <s v="ne"/>
    <s v="ne"/>
    <s v="ne"/>
    <s v="ne"/>
    <s v="Blatenská 425, 36235 Abertamy"/>
    <n v="554979"/>
    <x v="49"/>
    <s v="12.81531"/>
    <s v="50.36846"/>
    <n v="420353892268"/>
    <x v="151"/>
    <s v="https://www.zsabertamy.cz/"/>
    <x v="6"/>
    <x v="2"/>
  </r>
  <r>
    <n v="70939446"/>
    <x v="152"/>
    <s v="příspěvková organizace"/>
    <s v="veřejné"/>
    <s v="obec v Karlovarském kraji"/>
    <x v="0"/>
    <x v="0"/>
    <x v="0"/>
    <x v="0"/>
    <s v="ne"/>
    <s v="ne"/>
    <s v="ne"/>
    <s v="ne"/>
    <s v="Mezirolí 67, 36225 Nová Role"/>
    <n v="555398"/>
    <x v="45"/>
    <s v="12.816054"/>
    <s v="50.271879"/>
    <n v="420733642171"/>
    <x v="152"/>
    <s v="https://msmeziroli.estranky.cz/"/>
    <x v="5"/>
    <x v="2"/>
  </r>
  <r>
    <n v="71237003"/>
    <x v="153"/>
    <s v="příspěvková organizace"/>
    <s v="veřejné"/>
    <s v="obec v Karlovarském kraji"/>
    <x v="0"/>
    <x v="0"/>
    <x v="0"/>
    <x v="0"/>
    <s v="ne"/>
    <s v="ne"/>
    <s v="ne"/>
    <s v="ne"/>
    <s v="Komenského 48/7, 36007 Karlovy Vary"/>
    <n v="554961"/>
    <x v="50"/>
    <s v="12.827452"/>
    <s v="50.211556"/>
    <n v="420353232421"/>
    <x v="153"/>
    <s v="https://www.materinkykv.cz/"/>
    <x v="5"/>
    <x v="2"/>
  </r>
  <r>
    <n v="49751751"/>
    <x v="154"/>
    <s v="příspěvková organizace"/>
    <s v="veřejné"/>
    <s v="obec v Karlovarském kraji"/>
    <x v="1"/>
    <x v="1"/>
    <x v="0"/>
    <x v="0"/>
    <s v="ne"/>
    <s v="ne"/>
    <s v="ne"/>
    <s v="ne"/>
    <s v="Truhlářská 19, 36017 Karlovy Vary"/>
    <n v="554961"/>
    <x v="50"/>
    <s v="12.83529"/>
    <s v="50.241438"/>
    <n v="420353562283"/>
    <x v="154"/>
    <s v="https://www.zstruhlarska.cz/"/>
    <x v="5"/>
    <x v="2"/>
  </r>
  <r>
    <n v="70933774"/>
    <x v="155"/>
    <s v="příspěvková organizace"/>
    <s v="veřejné"/>
    <s v="obec v Karlovarském kraji"/>
    <x v="1"/>
    <x v="1"/>
    <x v="0"/>
    <x v="0"/>
    <s v="ne"/>
    <s v="ne"/>
    <s v="ne"/>
    <s v="ne"/>
    <s v="1. máje 58/1, 36006 Karlovy Vary"/>
    <n v="554961"/>
    <x v="50"/>
    <s v="12.836303"/>
    <s v="50.226847"/>
    <n v="420353563426"/>
    <x v="155"/>
    <s v="https://skoladvory.wixsite.com/uvod/"/>
    <x v="5"/>
    <x v="2"/>
  </r>
  <r>
    <n v="60610395"/>
    <x v="156"/>
    <s v="příspěvková organizace"/>
    <s v="veřejné"/>
    <s v="obec v Karlovarském kraji"/>
    <x v="0"/>
    <x v="1"/>
    <x v="0"/>
    <x v="0"/>
    <s v="ne"/>
    <s v="ne"/>
    <s v="ne"/>
    <s v="ne"/>
    <s v="Školní 152, 36464 Bečov nad Teplou"/>
    <n v="554995"/>
    <x v="51"/>
    <s v="12.838369"/>
    <s v="50.082782"/>
    <n v="420731653209"/>
    <x v="156"/>
    <s v="https://www.zsamsbecov.cz/"/>
    <x v="5"/>
    <x v="2"/>
  </r>
  <r>
    <n v="6133584"/>
    <x v="157"/>
    <s v="příspěvková organizace"/>
    <s v="veřejné"/>
    <s v="obec v Karlovarském kraji"/>
    <x v="1"/>
    <x v="0"/>
    <x v="0"/>
    <x v="0"/>
    <s v="ne"/>
    <s v="ne"/>
    <s v="ano"/>
    <s v="ne"/>
    <s v="Čankovská 35/9, 36005 Karlovy Vary"/>
    <n v="554961"/>
    <x v="50"/>
    <s v="12.848826"/>
    <s v="50.236092"/>
    <n v="420731636621"/>
    <x v="157"/>
    <s v="https://www.ddmkv.cz/"/>
    <x v="5"/>
    <x v="2"/>
  </r>
  <r>
    <n v="49753754"/>
    <x v="158"/>
    <s v="příspěvková organizace"/>
    <s v="veřejné"/>
    <s v="obec v Karlovarském kraji"/>
    <x v="1"/>
    <x v="1"/>
    <x v="0"/>
    <x v="0"/>
    <s v="ne"/>
    <s v="ne"/>
    <s v="ne"/>
    <s v="ne"/>
    <s v="Konečná 917/25, 36005 Karlovy Vary"/>
    <n v="554961"/>
    <x v="50"/>
    <s v="12.852254"/>
    <s v="50.239004"/>
    <n v="420702222756"/>
    <x v="158"/>
    <s v="https://zskonecnakv.cz/cs"/>
    <x v="5"/>
    <x v="2"/>
  </r>
  <r>
    <n v="70933758"/>
    <x v="159"/>
    <s v="příspěvková organizace"/>
    <s v="veřejné"/>
    <s v="obec v Karlovarském kraji"/>
    <x v="1"/>
    <x v="1"/>
    <x v="0"/>
    <x v="0"/>
    <s v="ne"/>
    <s v="ne"/>
    <s v="ne"/>
    <s v="ne"/>
    <s v="Poštovní 1743/19, 36001 Karlovy Vary"/>
    <n v="554961"/>
    <x v="50"/>
    <s v="12.852338"/>
    <s v="50.225636"/>
    <n v="420725595503"/>
    <x v="159"/>
    <s v="https://www.zskvary.cz/"/>
    <x v="5"/>
    <x v="2"/>
  </r>
  <r>
    <n v="49752626"/>
    <x v="160"/>
    <s v="příspěvková organizace"/>
    <s v="veřejné"/>
    <s v="obec v Karlovarském kraji"/>
    <x v="1"/>
    <x v="1"/>
    <x v="0"/>
    <x v="0"/>
    <s v="ne"/>
    <s v="ano"/>
    <s v="ne"/>
    <s v="ne"/>
    <s v="Šmeralova 336/15, 36005 Karlovy Vary"/>
    <n v="554961"/>
    <x v="50"/>
    <s v="12.859583"/>
    <s v="50.23272"/>
    <n v="420353447021"/>
    <x v="160"/>
    <s v="https://www.zsazus.cz/"/>
    <x v="5"/>
    <x v="2"/>
  </r>
  <r>
    <n v="71004777"/>
    <x v="161"/>
    <s v="příspěvková organizace"/>
    <s v="veřejné"/>
    <s v="obec v Karlovarském kraji"/>
    <x v="1"/>
    <x v="1"/>
    <x v="0"/>
    <x v="0"/>
    <s v="ne"/>
    <s v="ne"/>
    <s v="ne"/>
    <s v="ne"/>
    <s v="Merklín 31, 36234 Merklín"/>
    <n v="555363"/>
    <x v="52"/>
    <s v="12.861942"/>
    <s v="50.327178"/>
    <n v="420353618182"/>
    <x v="161"/>
    <s v="https://www.skolamerklin.cz/"/>
    <x v="6"/>
    <x v="2"/>
  </r>
  <r>
    <n v="71004769"/>
    <x v="162"/>
    <s v="příspěvková organizace"/>
    <s v="veřejné"/>
    <s v="obec v Karlovarském kraji"/>
    <x v="0"/>
    <x v="0"/>
    <x v="0"/>
    <x v="0"/>
    <s v="ne"/>
    <s v="ne"/>
    <s v="ne"/>
    <s v="ne"/>
    <s v="Merklín 86, 36234 Merklín"/>
    <n v="555363"/>
    <x v="52"/>
    <s v="12.862028"/>
    <s v="50.328948"/>
    <n v="420353618104"/>
    <x v="162"/>
    <s v="https://www.msmerklin-kv.cz/"/>
    <x v="6"/>
    <x v="2"/>
  </r>
  <r>
    <n v="7110596"/>
    <x v="163"/>
    <s v="příspěvková organizace"/>
    <s v="veřejné"/>
    <s v="obec v Karlovarském kraji"/>
    <x v="1"/>
    <x v="0"/>
    <x v="0"/>
    <x v="0"/>
    <s v="ne"/>
    <s v="ano"/>
    <s v="ne"/>
    <s v="ne"/>
    <s v="Šmeralova 489/32, 36005 Karlovy Vary"/>
    <n v="554961"/>
    <x v="50"/>
    <s v="12.862533"/>
    <s v="50.232556"/>
    <n v="420353549879"/>
    <x v="163"/>
    <s v="https://www.zusad.cz/"/>
    <x v="5"/>
    <x v="2"/>
  </r>
  <r>
    <n v="70933766"/>
    <x v="164"/>
    <s v="příspěvková organizace"/>
    <s v="veřejné"/>
    <s v="obec v Karlovarském kraji"/>
    <x v="1"/>
    <x v="1"/>
    <x v="0"/>
    <x v="0"/>
    <s v="ne"/>
    <s v="ne"/>
    <s v="ne"/>
    <s v="ne"/>
    <s v="Moskevská 1117/25, 36001 Karlovy Vary"/>
    <n v="554961"/>
    <x v="50"/>
    <s v="12.864767"/>
    <s v="50.228134"/>
    <n v="420775855597"/>
    <x v="164"/>
    <s v="https://zsdukla.cz/cs"/>
    <x v="5"/>
    <x v="2"/>
  </r>
  <r>
    <n v="69979359"/>
    <x v="165"/>
    <s v="příspěvková organizace"/>
    <s v="veřejné"/>
    <s v="obec v Karlovarském kraji"/>
    <x v="1"/>
    <x v="1"/>
    <x v="0"/>
    <x v="0"/>
    <s v="ne"/>
    <s v="ne"/>
    <s v="ne"/>
    <s v="ne"/>
    <s v="Krušnohorská 735/11, 36010 Karlovy Vary"/>
    <n v="554961"/>
    <x v="50"/>
    <s v="12.86568"/>
    <s v="50.23853"/>
    <n v="420731612837"/>
    <x v="165"/>
    <s v="https://zsruzovyvrch.edupage.org/"/>
    <x v="5"/>
    <x v="2"/>
  </r>
  <r>
    <n v="71237011"/>
    <x v="166"/>
    <s v="příspěvková organizace"/>
    <s v="veřejné"/>
    <s v="obec v Karlovarském kraji"/>
    <x v="0"/>
    <x v="0"/>
    <x v="0"/>
    <x v="0"/>
    <s v="ne"/>
    <s v="ne"/>
    <s v="ne"/>
    <s v="ne"/>
    <s v="Krušnohorská 740/16, 36010 Karlovy Vary"/>
    <n v="554961"/>
    <x v="50"/>
    <s v="12.866565"/>
    <s v="50.238111"/>
    <n v="420602339500"/>
    <x v="166"/>
    <s v="https://www.2mskv.cz/"/>
    <x v="5"/>
    <x v="2"/>
  </r>
  <r>
    <n v="73740420"/>
    <x v="167"/>
    <s v="příspěvková organizace"/>
    <s v="veřejné"/>
    <s v="obec v Karlovarském kraji"/>
    <x v="1"/>
    <x v="1"/>
    <x v="0"/>
    <x v="0"/>
    <s v="ne"/>
    <s v="ne"/>
    <s v="ne"/>
    <s v="ne"/>
    <s v="Školní 258, 36461 Teplá"/>
    <n v="555631"/>
    <x v="53"/>
    <s v="12.86668"/>
    <s v="49.980489"/>
    <n v="420353392241"/>
    <x v="167"/>
    <s v="https://www.zstepla.cz/"/>
    <x v="4"/>
    <x v="0"/>
  </r>
  <r>
    <n v="70883556"/>
    <x v="168"/>
    <s v="příspěvková organizace"/>
    <s v="veřejné"/>
    <s v="obec v Karlovarském kraji"/>
    <x v="0"/>
    <x v="0"/>
    <x v="0"/>
    <x v="0"/>
    <s v="ne"/>
    <s v="ne"/>
    <s v="ne"/>
    <s v="ne"/>
    <s v="Staromlýnská 34/29, 36215 Březová"/>
    <n v="537870"/>
    <x v="54"/>
    <s v="12.867383"/>
    <s v="50.19475"/>
    <n v="420353223656"/>
    <x v="168"/>
    <s v="https://www.msbrezova-ukv.cz/"/>
    <x v="5"/>
    <x v="2"/>
  </r>
  <r>
    <n v="66362245"/>
    <x v="169"/>
    <s v="příspěvková organizace"/>
    <s v="veřejné"/>
    <s v="obec v Karlovarském kraji"/>
    <x v="1"/>
    <x v="0"/>
    <x v="0"/>
    <x v="0"/>
    <s v="ne"/>
    <s v="ano"/>
    <s v="ne"/>
    <s v="ne"/>
    <s v="Školní 393, 36461 Teplá"/>
    <n v="555631"/>
    <x v="53"/>
    <s v="12.868977"/>
    <s v="49.98033"/>
    <n v="420775729221"/>
    <x v="169"/>
    <s v="https://zustepla.netstranky.cz/"/>
    <x v="4"/>
    <x v="0"/>
  </r>
  <r>
    <n v="60611367"/>
    <x v="170"/>
    <s v="příspěvková organizace"/>
    <s v="veřejné"/>
    <s v="obec v Karlovarském kraji"/>
    <x v="0"/>
    <x v="0"/>
    <x v="0"/>
    <x v="0"/>
    <s v="ne"/>
    <s v="ne"/>
    <s v="ne"/>
    <s v="ne"/>
    <s v="Školní 544, 36461 Teplá"/>
    <n v="555631"/>
    <x v="53"/>
    <s v="12.869642"/>
    <s v="49.981432"/>
    <n v="420353392261"/>
    <x v="170"/>
    <s v="https://www.mstepla.cz/"/>
    <x v="4"/>
    <x v="0"/>
  </r>
  <r>
    <n v="75006049"/>
    <x v="171"/>
    <s v="příspěvková organizace"/>
    <s v="veřejné"/>
    <s v="obec v Karlovarském kraji"/>
    <x v="1"/>
    <x v="1"/>
    <x v="0"/>
    <x v="0"/>
    <s v="ne"/>
    <s v="ne"/>
    <s v="ne"/>
    <s v="ne"/>
    <s v="Sídliště 310, 36233 Hroznětín"/>
    <n v="555185"/>
    <x v="55"/>
    <s v="12.871077"/>
    <s v="50.312164"/>
    <n v="420771160854"/>
    <x v="171"/>
    <s v="https://www.zshroznetin.net/"/>
    <x v="6"/>
    <x v="2"/>
  </r>
  <r>
    <n v="75006031"/>
    <x v="172"/>
    <s v="příspěvková organizace"/>
    <s v="veřejné"/>
    <s v="obec v Karlovarském kraji"/>
    <x v="0"/>
    <x v="0"/>
    <x v="0"/>
    <x v="0"/>
    <s v="ne"/>
    <s v="ne"/>
    <s v="ne"/>
    <s v="ne"/>
    <s v="Mlýnská 231, 36233 Hroznětín"/>
    <n v="555185"/>
    <x v="55"/>
    <s v="12.875801"/>
    <s v="50.309567"/>
    <n v="420723466706"/>
    <x v="172"/>
    <s v="https://mshroznetin.cz/"/>
    <x v="6"/>
    <x v="2"/>
  </r>
  <r>
    <n v="70993246"/>
    <x v="173"/>
    <s v="příspěvková organizace"/>
    <s v="veřejné"/>
    <s v="obec v Karlovarském kraji"/>
    <x v="1"/>
    <x v="1"/>
    <x v="0"/>
    <x v="0"/>
    <s v="ne"/>
    <s v="ne"/>
    <s v="ne"/>
    <s v="ne"/>
    <s v="Mozartova 346/7, 36020 Karlovy Vary"/>
    <n v="554961"/>
    <x v="50"/>
    <s v="12.88334"/>
    <s v="50.233857"/>
    <n v="420605941809"/>
    <x v="173"/>
    <s v="https://www.zsdys.cz/cs/"/>
    <x v="5"/>
    <x v="2"/>
  </r>
  <r>
    <n v="70933782"/>
    <x v="174"/>
    <s v="příspěvková organizace"/>
    <s v="veřejné"/>
    <s v="obec v Karlovarském kraji"/>
    <x v="1"/>
    <x v="1"/>
    <x v="0"/>
    <x v="0"/>
    <s v="ne"/>
    <s v="ne"/>
    <s v="ne"/>
    <s v="ne"/>
    <s v="Kollárova 553/19, 36009 Karlovy Vary"/>
    <n v="554961"/>
    <x v="50"/>
    <s v="12.886425"/>
    <s v="50.236941"/>
    <n v="420725735301"/>
    <x v="174"/>
    <s v="https://www.zskomenskeho-kv.cz/"/>
    <x v="5"/>
    <x v="2"/>
  </r>
  <r>
    <n v="872296"/>
    <x v="175"/>
    <s v="příspěvková organizace"/>
    <s v="veřejné"/>
    <s v="obec v Karlovarském kraji"/>
    <x v="1"/>
    <x v="1"/>
    <x v="0"/>
    <x v="0"/>
    <s v="ne"/>
    <s v="ne"/>
    <s v="ne"/>
    <s v="ne"/>
    <s v="Libušina 1032/31, 36001 Karlovy Vary"/>
    <n v="554961"/>
    <x v="50"/>
    <s v="12.88793"/>
    <s v="50.221492"/>
    <n v="420725043842"/>
    <x v="175"/>
    <s v="https://jazkvary.edupage.org/"/>
    <x v="5"/>
    <x v="2"/>
  </r>
  <r>
    <n v="70989290"/>
    <x v="176"/>
    <s v="příspěvková organizace"/>
    <s v="veřejné"/>
    <s v="obec v Karlovarském kraji"/>
    <x v="0"/>
    <x v="1"/>
    <x v="0"/>
    <x v="0"/>
    <s v="ne"/>
    <s v="ne"/>
    <s v="ne"/>
    <s v="ne"/>
    <s v="U Potoka 120, 36263 Dalovice"/>
    <n v="537918"/>
    <x v="56"/>
    <s v="12.896708"/>
    <s v="50.249885"/>
    <n v="420731612340"/>
    <x v="176"/>
    <s v="https://zsmsdalovice.cz/cs"/>
    <x v="5"/>
    <x v="2"/>
  </r>
  <r>
    <n v="70895201"/>
    <x v="177"/>
    <s v="příspěvková organizace"/>
    <s v="veřejné"/>
    <s v="obec v Karlovarském kraji"/>
    <x v="1"/>
    <x v="1"/>
    <x v="0"/>
    <x v="0"/>
    <s v="ne"/>
    <s v="ne"/>
    <s v="ne"/>
    <s v="ne"/>
    <s v="Kolová 97, 36214 Kolová"/>
    <n v="555258"/>
    <x v="57"/>
    <s v="12.902108"/>
    <s v="50.187225"/>
    <n v="420723962420"/>
    <x v="177"/>
    <s v="http://www.zskolova.cz/"/>
    <x v="5"/>
    <x v="2"/>
  </r>
  <r>
    <n v="71172548"/>
    <x v="178"/>
    <s v="příspěvková organizace"/>
    <s v="veřejné"/>
    <s v="obec v Karlovarském kraji"/>
    <x v="0"/>
    <x v="0"/>
    <x v="0"/>
    <x v="0"/>
    <s v="ne"/>
    <s v="ne"/>
    <s v="ne"/>
    <s v="ne"/>
    <s v="Krásné Údolí 77, 36401 Krásné Údolí"/>
    <n v="555304"/>
    <x v="58"/>
    <s v="12.920343"/>
    <s v="50.071528"/>
    <n v="420353312019"/>
    <x v="178"/>
    <s v="https://www.krasneudoli.cz/mesto/materska-skola"/>
    <x v="5"/>
    <x v="2"/>
  </r>
  <r>
    <n v="70981043"/>
    <x v="179"/>
    <s v="příspěvková organizace"/>
    <s v="veřejné"/>
    <s v="obec v Karlovarském kraji"/>
    <x v="0"/>
    <x v="1"/>
    <x v="0"/>
    <x v="0"/>
    <s v="ne"/>
    <s v="ne"/>
    <s v="ne"/>
    <s v="ne"/>
    <s v="Husova 992, 36251 Jáchymov"/>
    <n v="555215"/>
    <x v="59"/>
    <s v="12.930834"/>
    <s v="50.363446"/>
    <n v="420608163301"/>
    <x v="179"/>
    <s v="https://www.zsjachymov.eu/"/>
    <x v="6"/>
    <x v="2"/>
  </r>
  <r>
    <n v="47700009"/>
    <x v="180"/>
    <s v="příspěvková organizace"/>
    <s v="veřejné"/>
    <s v="obec v Karlovarském kraji"/>
    <x v="1"/>
    <x v="0"/>
    <x v="0"/>
    <x v="0"/>
    <s v="ne"/>
    <s v="ne"/>
    <s v="ano"/>
    <s v="ne"/>
    <s v="Školní 231, 36301 Ostrov"/>
    <n v="555428"/>
    <x v="60"/>
    <s v="12.937627"/>
    <s v="50.305269"/>
    <n v="420736505681"/>
    <x v="180"/>
    <s v="https://www.mddmostrov.cz/"/>
    <x v="6"/>
    <x v="2"/>
  </r>
  <r>
    <n v="49753347"/>
    <x v="181"/>
    <s v="příspěvková organizace"/>
    <s v="veřejné"/>
    <s v="obec v Karlovarském kraji"/>
    <x v="1"/>
    <x v="1"/>
    <x v="0"/>
    <x v="0"/>
    <s v="ne"/>
    <s v="ne"/>
    <s v="ne"/>
    <s v="ne"/>
    <s v="Masarykova 1289, 36301 Ostrov"/>
    <n v="555428"/>
    <x v="60"/>
    <s v="12.945047"/>
    <s v="50.305955"/>
    <n v="420353800411"/>
    <x v="181"/>
    <s v="https://www.1zsostrov.cz/"/>
    <x v="6"/>
    <x v="2"/>
  </r>
  <r>
    <n v="49753606"/>
    <x v="182"/>
    <s v="příspěvková organizace"/>
    <s v="veřejné"/>
    <s v="obec v Karlovarském kraji"/>
    <x v="1"/>
    <x v="0"/>
    <x v="0"/>
    <x v="0"/>
    <s v="ne"/>
    <s v="ano"/>
    <s v="ne"/>
    <s v="ne"/>
    <s v="Masarykova 717, 36301 Ostrov"/>
    <n v="555428"/>
    <x v="60"/>
    <s v="12.946662"/>
    <s v="50.311052"/>
    <n v="420358999130"/>
    <x v="182"/>
    <s v="https://zusostrov.cz/"/>
    <x v="6"/>
    <x v="2"/>
  </r>
  <r>
    <n v="49753461"/>
    <x v="183"/>
    <s v="příspěvková organizace"/>
    <s v="veřejné"/>
    <s v="obec v Karlovarském kraji"/>
    <x v="0"/>
    <x v="0"/>
    <x v="0"/>
    <x v="0"/>
    <s v="ne"/>
    <s v="ne"/>
    <s v="ne"/>
    <s v="ne"/>
    <s v="Halasova 765, 36301 Ostrov"/>
    <n v="555428"/>
    <x v="60"/>
    <s v="12.948187"/>
    <s v="50.304343"/>
    <n v="420353612580"/>
    <x v="183"/>
    <s v="https://www.mshalasova.cz/"/>
    <x v="6"/>
    <x v="2"/>
  </r>
  <r>
    <n v="49753495"/>
    <x v="184"/>
    <s v="příspěvková organizace"/>
    <s v="veřejné"/>
    <s v="obec v Karlovarském kraji"/>
    <x v="0"/>
    <x v="0"/>
    <x v="0"/>
    <x v="0"/>
    <s v="ne"/>
    <s v="ne"/>
    <s v="ne"/>
    <s v="ne"/>
    <s v="Masarykova 1195, 36301 Ostrov"/>
    <n v="555428"/>
    <x v="60"/>
    <s v="12.948927"/>
    <s v="50.312992"/>
    <n v="420353842365"/>
    <x v="184"/>
    <s v="https://www.masarykovams.cz/"/>
    <x v="6"/>
    <x v="2"/>
  </r>
  <r>
    <n v="49753533"/>
    <x v="185"/>
    <s v="příspěvková organizace"/>
    <s v="veřejné"/>
    <s v="obec v Karlovarském kraji"/>
    <x v="0"/>
    <x v="0"/>
    <x v="0"/>
    <x v="0"/>
    <s v="ne"/>
    <s v="ne"/>
    <s v="ne"/>
    <s v="ne"/>
    <s v="Palackého 1045, 36301 Ostrov"/>
    <n v="555428"/>
    <x v="60"/>
    <s v="12.949456"/>
    <s v="50.310615"/>
    <n v="420775052301"/>
    <x v="185"/>
    <s v="https://www.mspalackeho.cz/"/>
    <x v="6"/>
    <x v="2"/>
  </r>
  <r>
    <n v="49753371"/>
    <x v="186"/>
    <s v="příspěvková organizace"/>
    <s v="veřejné"/>
    <s v="obec v Karlovarském kraji"/>
    <x v="1"/>
    <x v="1"/>
    <x v="0"/>
    <x v="0"/>
    <s v="ne"/>
    <s v="ne"/>
    <s v="ne"/>
    <s v="ne"/>
    <s v="Májová 997, 36301 Ostrov"/>
    <n v="555428"/>
    <x v="60"/>
    <s v="12.951065"/>
    <s v="50.311988"/>
    <n v="420351124821"/>
    <x v="186"/>
    <s v="http://www.3zsostrov.cz/"/>
    <x v="6"/>
    <x v="2"/>
  </r>
  <r>
    <n v="49753509"/>
    <x v="187"/>
    <s v="příspěvková organizace"/>
    <s v="veřejné"/>
    <s v="obec v Karlovarském kraji"/>
    <x v="0"/>
    <x v="0"/>
    <x v="0"/>
    <x v="0"/>
    <s v="ne"/>
    <s v="ne"/>
    <s v="ne"/>
    <s v="ne"/>
    <s v="Krušnohorská 766, 36301 Ostrov"/>
    <n v="555428"/>
    <x v="60"/>
    <s v="12.952184"/>
    <s v="50.303463"/>
    <n v="420739521736"/>
    <x v="187"/>
    <s v="https://www.mskrusnohorska.cz/"/>
    <x v="6"/>
    <x v="2"/>
  </r>
  <r>
    <n v="49753363"/>
    <x v="188"/>
    <s v="příspěvková organizace"/>
    <s v="veřejné"/>
    <s v="obec v Karlovarském kraji"/>
    <x v="0"/>
    <x v="1"/>
    <x v="0"/>
    <x v="0"/>
    <s v="ne"/>
    <s v="ne"/>
    <s v="ne"/>
    <s v="ne"/>
    <s v="Myslbekova 996, 36301 Ostrov"/>
    <n v="555428"/>
    <x v="60"/>
    <s v="12.952755"/>
    <s v="50.308418"/>
    <n v="420777661337"/>
    <x v="188"/>
    <s v="https://www.zsamsostrov.net/"/>
    <x v="6"/>
    <x v="2"/>
  </r>
  <r>
    <n v="60610751"/>
    <x v="189"/>
    <s v="příspěvková organizace"/>
    <s v="veřejné"/>
    <s v="obec v Karlovarském kraji"/>
    <x v="0"/>
    <x v="1"/>
    <x v="0"/>
    <x v="0"/>
    <s v="ne"/>
    <s v="ne"/>
    <s v="ne"/>
    <s v="ne"/>
    <s v="Útvina 153, 36401 Toužim"/>
    <n v="555657"/>
    <x v="61"/>
    <s v="12.958331"/>
    <s v="50.069442"/>
    <n v="420353312016"/>
    <x v="189"/>
    <s v="https://www.zsutvina.cz/"/>
    <x v="5"/>
    <x v="2"/>
  </r>
  <r>
    <n v="75005646"/>
    <x v="190"/>
    <s v="příspěvková organizace"/>
    <s v="veřejné"/>
    <s v="obec v Karlovarském kraji"/>
    <x v="0"/>
    <x v="0"/>
    <x v="0"/>
    <x v="0"/>
    <s v="ne"/>
    <s v="ne"/>
    <s v="ne"/>
    <s v="ne"/>
    <s v="Šemnice 29, 36272 Kyselka"/>
    <n v="555347"/>
    <x v="62"/>
    <s v="12.972222"/>
    <s v="50.239627"/>
    <n v="420353941129"/>
    <x v="190"/>
    <s v="https://mssemnice.estranky.cz/"/>
    <x v="5"/>
    <x v="2"/>
  </r>
  <r>
    <n v="49755579"/>
    <x v="191"/>
    <s v="příspěvková organizace"/>
    <s v="veřejné"/>
    <s v="obec v Karlovarském kraji"/>
    <x v="0"/>
    <x v="0"/>
    <x v="0"/>
    <x v="0"/>
    <s v="ne"/>
    <s v="ne"/>
    <s v="ne"/>
    <s v="ne"/>
    <s v="Sídliště 429, 36401 Toužim"/>
    <n v="555657"/>
    <x v="61"/>
    <s v="12.985374"/>
    <s v="50.061689"/>
    <n v="420354224565"/>
    <x v="191"/>
    <s v="https://www.slunickotouzim.cz/"/>
    <x v="5"/>
    <x v="2"/>
  </r>
  <r>
    <n v="60611448"/>
    <x v="192"/>
    <s v="příspěvková organizace"/>
    <s v="veřejné"/>
    <s v="obec v Karlovarském kraji"/>
    <x v="0"/>
    <x v="1"/>
    <x v="0"/>
    <x v="0"/>
    <s v="ne"/>
    <s v="ne"/>
    <s v="ne"/>
    <s v="ne"/>
    <s v="Plzeňská 395, 36401 Toužim"/>
    <n v="555657"/>
    <x v="61"/>
    <s v="12.990814"/>
    <s v="50.057611"/>
    <n v="420739245248"/>
    <x v="192"/>
    <s v="http://www.zsamstouzim.cz"/>
    <x v="5"/>
    <x v="2"/>
  </r>
  <r>
    <n v="66361974"/>
    <x v="193"/>
    <s v="příspěvková organizace"/>
    <s v="veřejné"/>
    <s v="obec v Karlovarském kraji"/>
    <x v="1"/>
    <x v="0"/>
    <x v="0"/>
    <x v="0"/>
    <s v="ne"/>
    <s v="ano"/>
    <s v="ne"/>
    <s v="ne"/>
    <s v="Plzeňská 395, 36401 Toužim"/>
    <n v="555657"/>
    <x v="61"/>
    <s v="12.9906639"/>
    <s v="50.0583050"/>
    <n v="420739245246"/>
    <x v="193"/>
    <s v="https://www.zustouzim.cz/"/>
    <x v="5"/>
    <x v="2"/>
  </r>
  <r>
    <n v="70995826"/>
    <x v="194"/>
    <s v="příspěvková organizace"/>
    <s v="veřejné"/>
    <s v="obec v Karlovarském kraji"/>
    <x v="1"/>
    <x v="1"/>
    <x v="0"/>
    <x v="0"/>
    <s v="ne"/>
    <s v="ne"/>
    <s v="ne"/>
    <s v="ne"/>
    <s v="Plzeňská 395, 36401 Toužim"/>
    <n v="555657"/>
    <x v="61"/>
    <s v="12.9903981"/>
    <s v="50.0579233"/>
    <n v="420354224555"/>
    <x v="194"/>
    <s v="https://zstouzim.cz/"/>
    <x v="5"/>
    <x v="2"/>
  </r>
  <r>
    <n v="75006529"/>
    <x v="195"/>
    <s v="příspěvková organizace"/>
    <s v="veřejné"/>
    <s v="obec v Karlovarském kraji"/>
    <x v="0"/>
    <x v="1"/>
    <x v="0"/>
    <x v="0"/>
    <s v="ne"/>
    <s v="ne"/>
    <s v="ne"/>
    <s v="ne"/>
    <s v="Radošov 75, 36272 Kyselka"/>
    <n v="555347"/>
    <x v="62"/>
    <s v="12.994401"/>
    <s v="50.264583"/>
    <n v="420727887181"/>
    <x v="195"/>
    <s v="https://zskyselka.edupage.org/"/>
    <x v="5"/>
    <x v="2"/>
  </r>
  <r>
    <n v="71005307"/>
    <x v="196"/>
    <s v="příspěvková organizace"/>
    <s v="veřejné"/>
    <s v="obec v Karlovarském kraji"/>
    <x v="0"/>
    <x v="0"/>
    <x v="0"/>
    <x v="0"/>
    <s v="ne"/>
    <s v="ne"/>
    <s v="ne"/>
    <s v="ne"/>
    <s v="Stružná 58, 36472 Stružná"/>
    <n v="555592"/>
    <x v="63"/>
    <s v="13.006633"/>
    <s v="50.18869"/>
    <n v="420353901176"/>
    <x v="196"/>
    <s v="https://www.msstruzna.cz/"/>
    <x v="5"/>
    <x v="2"/>
  </r>
  <r>
    <n v="75005549"/>
    <x v="197"/>
    <s v="příspěvková organizace"/>
    <s v="veřejné"/>
    <s v="obec v Karlovarském kraji"/>
    <x v="0"/>
    <x v="0"/>
    <x v="0"/>
    <x v="0"/>
    <s v="ne"/>
    <s v="ne"/>
    <s v="ne"/>
    <s v="ne"/>
    <s v="Velichov 132, 36301 Ostrov"/>
    <n v="555428"/>
    <x v="60"/>
    <s v="13.007113"/>
    <s v="50.280303"/>
    <n v="420353942165"/>
    <x v="197"/>
    <s v="https://www.velichov.cz/materska-skola"/>
    <x v="6"/>
    <x v="2"/>
  </r>
  <r>
    <n v="71181709"/>
    <x v="198"/>
    <s v="příspěvková organizace"/>
    <s v="veřejné"/>
    <s v="obec v Karlovarském kraji"/>
    <x v="0"/>
    <x v="0"/>
    <x v="0"/>
    <x v="0"/>
    <s v="ne"/>
    <s v="ne"/>
    <s v="ne"/>
    <s v="ne"/>
    <s v="Jakubov 93, 36301 Vojkovice"/>
    <n v="555738"/>
    <x v="64"/>
    <s v="13.030585"/>
    <s v="50.30908"/>
    <n v="420728455143"/>
    <x v="198"/>
    <s v="https://www.msjakubov.cz/"/>
    <x v="6"/>
    <x v="2"/>
  </r>
  <r>
    <n v="70991545"/>
    <x v="199"/>
    <s v="příspěvková organizace"/>
    <s v="veřejné"/>
    <s v="obec v Karlovarském kraji"/>
    <x v="1"/>
    <x v="1"/>
    <x v="0"/>
    <x v="0"/>
    <s v="ne"/>
    <s v="ne"/>
    <s v="ne"/>
    <s v="ne"/>
    <s v="Okružní 367, 36471 Bochov"/>
    <n v="555029"/>
    <x v="65"/>
    <s v="13.043311"/>
    <s v="50.148989"/>
    <n v="420731495037"/>
    <x v="199"/>
    <s v="https://www.zsbochov.cz/"/>
    <x v="5"/>
    <x v="2"/>
  </r>
  <r>
    <n v="70991511"/>
    <x v="200"/>
    <s v="příspěvková organizace"/>
    <s v="veřejné"/>
    <s v="obec v Karlovarském kraji"/>
    <x v="0"/>
    <x v="0"/>
    <x v="0"/>
    <x v="0"/>
    <s v="ne"/>
    <s v="ne"/>
    <s v="ne"/>
    <s v="ne"/>
    <s v="Zahradní 315, 36471 Bochov"/>
    <n v="555029"/>
    <x v="65"/>
    <s v="13.049537"/>
    <s v="50.14936"/>
    <n v="420353902207"/>
    <x v="200"/>
    <s v="https://www.msbochov.cz/"/>
    <x v="5"/>
    <x v="2"/>
  </r>
  <r>
    <n v="60611316"/>
    <x v="201"/>
    <s v="příspěvková organizace"/>
    <s v="veřejné"/>
    <s v="obec v Karlovarském kraji"/>
    <x v="0"/>
    <x v="0"/>
    <x v="0"/>
    <x v="0"/>
    <s v="ne"/>
    <s v="ne"/>
    <s v="ne"/>
    <s v="ne"/>
    <s v="Stráž nad Ohří 101, 36274 Stráž nad Ohří"/>
    <n v="555584"/>
    <x v="66"/>
    <s v="13.050276"/>
    <s v="50.338428"/>
    <n v="420353893108"/>
    <x v="201"/>
    <s v="https://www.ms-straz.cz/"/>
    <x v="6"/>
    <x v="2"/>
  </r>
  <r>
    <n v="60611821"/>
    <x v="202"/>
    <s v="příspěvková organizace"/>
    <s v="veřejné"/>
    <s v="obec v Karlovarském kraji"/>
    <x v="0"/>
    <x v="1"/>
    <x v="0"/>
    <x v="0"/>
    <s v="ne"/>
    <s v="ne"/>
    <s v="ne"/>
    <s v="ne"/>
    <s v="Štědrá 49, 36451 Štědrá"/>
    <n v="555622"/>
    <x v="67"/>
    <s v="13.112701"/>
    <s v="50.058187"/>
    <n v="420721138895"/>
    <x v="202"/>
    <s v="https://zsamsstedra.cz/cs"/>
    <x v="5"/>
    <x v="2"/>
  </r>
  <r>
    <n v="47701412"/>
    <x v="203"/>
    <s v="příspěvková organizace"/>
    <s v="veřejné"/>
    <s v="obec v Karlovarském kraji"/>
    <x v="1"/>
    <x v="1"/>
    <x v="0"/>
    <x v="0"/>
    <s v="ne"/>
    <s v="ano"/>
    <s v="ne"/>
    <s v="ne"/>
    <s v="Poděbradova 307, 36452 Žlutice"/>
    <n v="555762"/>
    <x v="68"/>
    <s v="13.158952"/>
    <s v="50.087661"/>
    <n v="420353393243"/>
    <x v="203"/>
    <s v="https://zszlutice.edupage.org/"/>
    <x v="5"/>
    <x v="2"/>
  </r>
  <r>
    <n v="63555522"/>
    <x v="204"/>
    <s v="příspěvková organizace"/>
    <s v="veřejné"/>
    <s v="obec v Karlovarském kraji"/>
    <x v="0"/>
    <x v="0"/>
    <x v="0"/>
    <x v="0"/>
    <s v="ne"/>
    <s v="ne"/>
    <s v="ne"/>
    <s v="ne"/>
    <s v="Poděbradova 396, 36452 Žlutice"/>
    <n v="555762"/>
    <x v="68"/>
    <s v="13.160103"/>
    <s v="50.088693"/>
    <n v="420353393242"/>
    <x v="204"/>
    <s v="https://www.mszlutice.cz/"/>
    <x v="5"/>
    <x v="2"/>
  </r>
  <r>
    <n v="70990492"/>
    <x v="205"/>
    <s v="příspěvková organizace"/>
    <s v="veřejné"/>
    <s v="obec v Karlovarském kraji"/>
    <x v="0"/>
    <x v="1"/>
    <x v="0"/>
    <x v="0"/>
    <s v="ne"/>
    <s v="ne"/>
    <s v="ne"/>
    <s v="ne"/>
    <s v="Na Špičáku 292, 36453 Chyše"/>
    <n v="555207"/>
    <x v="69"/>
    <s v="13.252313"/>
    <s v="50.105917"/>
    <n v="420353396222"/>
    <x v="205"/>
    <s v="https://www.ms-zs-chyse.cz/"/>
    <x v="5"/>
    <x v="2"/>
  </r>
  <r>
    <n v="75006219"/>
    <x v="206"/>
    <s v="příspěvková organizace"/>
    <s v="veřejné"/>
    <s v="obec v Karlovarském kraji"/>
    <x v="0"/>
    <x v="1"/>
    <x v="0"/>
    <x v="0"/>
    <s v="ne"/>
    <s v="ne"/>
    <s v="ne"/>
    <s v="ne"/>
    <s v="Podbořanská 32, 36455 Valeč"/>
    <n v="555690"/>
    <x v="70"/>
    <s v="13.255241"/>
    <s v="50.173947"/>
    <n v="420604895632"/>
    <x v="206"/>
    <s v="https://www.mszsvalec.cz/"/>
    <x v="5"/>
    <x v="2"/>
  </r>
  <r>
    <n v="69983551"/>
    <x v="207"/>
    <s v="příspěvková organizace"/>
    <s v="veřejné"/>
    <s v="obec v Karlovarském kraji"/>
    <x v="0"/>
    <x v="1"/>
    <x v="0"/>
    <x v="0"/>
    <s v="ne"/>
    <s v="ne"/>
    <s v="ne"/>
    <s v="ne"/>
    <s v="Pohraniční stráže 81, 35703 Svatava"/>
    <n v="538434"/>
    <x v="71"/>
    <s v="12.6267053"/>
    <s v="50.190632"/>
    <n v="420352609048"/>
    <x v="207"/>
    <s v="https://www.skolasvatava.cz/"/>
    <x v="3"/>
    <x v="1"/>
  </r>
  <r>
    <n v="47723416"/>
    <x v="208"/>
    <s v="příspěvková organizace"/>
    <s v="veřejné"/>
    <s v="Karlovarský kraj"/>
    <x v="1"/>
    <x v="0"/>
    <x v="1"/>
    <x v="0"/>
    <s v="ne"/>
    <s v="ne"/>
    <s v="ne"/>
    <s v="ne"/>
    <s v="Hlavní 2514/106, 35201 Aš"/>
    <n v="554499"/>
    <x v="2"/>
    <s v="12.194203"/>
    <s v="50.216618"/>
    <n v="420354525585"/>
    <x v="208"/>
    <s v="https://www.gymas.cz"/>
    <x v="0"/>
    <x v="0"/>
  </r>
  <r>
    <n v="49767267"/>
    <x v="209"/>
    <s v="příspěvková organizace"/>
    <s v="veřejné"/>
    <s v="Karlovarský kraj"/>
    <x v="1"/>
    <x v="0"/>
    <x v="0"/>
    <x v="0"/>
    <s v="ne"/>
    <s v="ne"/>
    <s v="ne"/>
    <s v="ano"/>
    <s v="Goethova 1660/16, 35002 Cheb"/>
    <n v="554481"/>
    <x v="7"/>
    <s v="12.360301"/>
    <s v="50.077741"/>
    <n v="420352688438"/>
    <x v="209"/>
    <s v="https://www.ddchs.cz"/>
    <x v="1"/>
    <x v="0"/>
  </r>
  <r>
    <n v="47723386"/>
    <x v="210"/>
    <s v="příspěvková organizace"/>
    <s v="veřejné"/>
    <s v="Karlovarský kraj"/>
    <x v="1"/>
    <x v="0"/>
    <x v="1"/>
    <x v="0"/>
    <s v="ne"/>
    <s v="ne"/>
    <s v="ne"/>
    <s v="ne"/>
    <s v="Nerudova 2283/7, 35002 Cheb"/>
    <n v="554481"/>
    <x v="7"/>
    <s v="12.362412"/>
    <s v="50.076275"/>
    <n v="420739322319"/>
    <x v="210"/>
    <s v="https://www.gymcheb.cz"/>
    <x v="1"/>
    <x v="0"/>
  </r>
  <r>
    <n v="77461"/>
    <x v="211"/>
    <s v="příspěvková organizace"/>
    <s v="veřejné"/>
    <s v="Karlovarský kraj"/>
    <x v="1"/>
    <x v="0"/>
    <x v="1"/>
    <x v="0"/>
    <s v="ne"/>
    <s v="ne"/>
    <s v="ne"/>
    <s v="ne"/>
    <s v="Obrněné brigády 2258/6, 35002 Cheb"/>
    <n v="554481"/>
    <x v="7"/>
    <s v="12.366284"/>
    <s v="50.07735"/>
    <n v="420354408011"/>
    <x v="211"/>
    <s v="https://www.iss-cheb.cz"/>
    <x v="1"/>
    <x v="0"/>
  </r>
  <r>
    <n v="669733"/>
    <x v="212"/>
    <s v="příspěvková organizace"/>
    <s v="veřejné"/>
    <s v="Karlovarský kraj"/>
    <x v="1"/>
    <x v="0"/>
    <x v="1"/>
    <x v="1"/>
    <s v="ne"/>
    <s v="ne"/>
    <s v="ne"/>
    <s v="ne"/>
    <s v="Hradební 58/10, 35002 Cheb"/>
    <n v="554481"/>
    <x v="7"/>
    <s v="12.366493"/>
    <s v="50.078765"/>
    <n v="420351011061"/>
    <x v="212"/>
    <s v="https://www.szsavoscheb.cz"/>
    <x v="1"/>
    <x v="0"/>
  </r>
  <r>
    <n v="76899"/>
    <x v="213"/>
    <s v="příspěvková organizace"/>
    <s v="veřejné"/>
    <s v="Karlovarský kraj"/>
    <x v="1"/>
    <x v="0"/>
    <x v="0"/>
    <x v="0"/>
    <s v="ne"/>
    <s v="ne"/>
    <s v="ne"/>
    <s v="ano"/>
    <s v="U Farmy 30/11, 35002 Cheb"/>
    <n v="554481"/>
    <x v="7"/>
    <s v="12.417664"/>
    <s v="50.082816"/>
    <n v="420354548711"/>
    <x v="213"/>
    <s v="https://www.skolnistatekcheb.cz"/>
    <x v="1"/>
    <x v="0"/>
  </r>
  <r>
    <n v="49767194"/>
    <x v="214"/>
    <s v="příspěvková organizace"/>
    <s v="veřejné"/>
    <s v="Karlovarský kraj"/>
    <x v="1"/>
    <x v="0"/>
    <x v="1"/>
    <x v="0"/>
    <s v="ne"/>
    <s v="ne"/>
    <s v="ne"/>
    <s v="ano"/>
    <s v="Husitská 2053, 35601 Sokolov"/>
    <n v="560286"/>
    <x v="21"/>
    <s v="12.640226"/>
    <s v="50.176253"/>
    <n v="420352623342"/>
    <x v="214"/>
    <s v="https://www.gymso.cz"/>
    <x v="3"/>
    <x v="1"/>
  </r>
  <r>
    <n v="75059151"/>
    <x v="215"/>
    <s v="příspěvková organizace"/>
    <s v="veřejné"/>
    <s v="Karlovarský kraj"/>
    <x v="1"/>
    <x v="0"/>
    <x v="1"/>
    <x v="0"/>
    <s v="ne"/>
    <s v="ne"/>
    <s v="ne"/>
    <s v="ne"/>
    <s v="Žákovská 716, 35601 Sokolov"/>
    <n v="560286"/>
    <x v="21"/>
    <s v="12.641212"/>
    <s v="50.186655"/>
    <n v="420352622765"/>
    <x v="215"/>
    <s v="https://www.zivnostenska-sokolov.cz"/>
    <x v="3"/>
    <x v="1"/>
  </r>
  <r>
    <n v="49766929"/>
    <x v="216"/>
    <s v="příspěvková organizace"/>
    <s v="veřejné"/>
    <s v="Karlovarský kraj"/>
    <x v="1"/>
    <x v="0"/>
    <x v="1"/>
    <x v="0"/>
    <s v="ne"/>
    <s v="ne"/>
    <s v="ne"/>
    <s v="ne"/>
    <s v="Jednoty 1620, 35601 Sokolov"/>
    <n v="560286"/>
    <x v="21"/>
    <s v="12.644488"/>
    <s v="50.182788"/>
    <n v="420352603825"/>
    <x v="216"/>
    <s v="https://www.isste.cz"/>
    <x v="3"/>
    <x v="1"/>
  </r>
  <r>
    <n v="77119"/>
    <x v="217"/>
    <s v="příspěvková organizace"/>
    <s v="veřejné"/>
    <s v="Karlovarský kraj"/>
    <x v="1"/>
    <x v="0"/>
    <x v="1"/>
    <x v="0"/>
    <s v="ne"/>
    <s v="ne"/>
    <s v="ne"/>
    <s v="ne"/>
    <s v="Komenského 449/2, 35301 Mariánské Lázně"/>
    <n v="554642"/>
    <x v="35"/>
    <s v="12.700109"/>
    <s v="49.962248"/>
    <n v="420354622605"/>
    <x v="217"/>
    <s v="https://www.hotelovaskola.cz"/>
    <x v="4"/>
    <x v="0"/>
  </r>
  <r>
    <n v="47723394"/>
    <x v="218"/>
    <s v="příspěvková organizace"/>
    <s v="veřejné"/>
    <s v="Karlovarský kraj"/>
    <x v="1"/>
    <x v="0"/>
    <x v="1"/>
    <x v="0"/>
    <s v="ne"/>
    <s v="ne"/>
    <s v="ne"/>
    <s v="ne"/>
    <s v="Ruská 355/7, 35301 Mariánské Lázně"/>
    <n v="554642"/>
    <x v="35"/>
    <s v="12.701646"/>
    <s v="49.973218"/>
    <n v="420354624166"/>
    <x v="218"/>
    <s v="https://www.goaml.cz"/>
    <x v="4"/>
    <x v="0"/>
  </r>
  <r>
    <n v="377945"/>
    <x v="219"/>
    <s v="příspěvková organizace"/>
    <s v="veřejné"/>
    <s v="Karlovarský kraj"/>
    <x v="1"/>
    <x v="0"/>
    <x v="0"/>
    <x v="0"/>
    <s v="ne"/>
    <s v="ne"/>
    <s v="ne"/>
    <s v="ano"/>
    <s v="Klíčová 167/4, 35301 Mariánské Lázně"/>
    <n v="554642"/>
    <x v="35"/>
    <s v="12.70446"/>
    <s v="49.972829"/>
    <n v="420354623924"/>
    <x v="219"/>
    <s v="https://www.dmasjml.cz/"/>
    <x v="4"/>
    <x v="0"/>
  </r>
  <r>
    <n v="47723424"/>
    <x v="220"/>
    <s v="příspěvková organizace"/>
    <s v="veřejné"/>
    <s v="Karlovarský kraj"/>
    <x v="1"/>
    <x v="0"/>
    <x v="0"/>
    <x v="0"/>
    <s v="ne"/>
    <s v="ne"/>
    <s v="ne"/>
    <s v="ano"/>
    <s v="Palackého 191/101, 35301 Mariánské Lázně"/>
    <n v="554642"/>
    <x v="35"/>
    <s v="12.715285"/>
    <s v="49.953031"/>
    <n v="420354602261"/>
    <x v="220"/>
    <s v="https://www.ddmla.cz"/>
    <x v="4"/>
    <x v="0"/>
  </r>
  <r>
    <n v="66362725"/>
    <x v="221"/>
    <s v="příspěvková organizace"/>
    <s v="veřejné"/>
    <s v="Karlovarský kraj"/>
    <x v="1"/>
    <x v="1"/>
    <x v="1"/>
    <x v="0"/>
    <s v="ne"/>
    <s v="ne"/>
    <s v="ne"/>
    <s v="ne"/>
    <s v="Vančurova 83/2, 36017 Karlovy Vary"/>
    <n v="554961"/>
    <x v="50"/>
    <s v="12.831028"/>
    <s v="50.248111"/>
    <n v="420608867999"/>
    <x v="221"/>
    <s v="https://www.specskoly.cz"/>
    <x v="5"/>
    <x v="2"/>
  </r>
  <r>
    <n v="63554453"/>
    <x v="222"/>
    <s v="příspěvková organizace"/>
    <s v="veřejné"/>
    <s v="Karlovarský kraj"/>
    <x v="1"/>
    <x v="0"/>
    <x v="0"/>
    <x v="0"/>
    <s v="ne"/>
    <s v="ano"/>
    <s v="ne"/>
    <s v="ne"/>
    <s v="Školní 338, 36464 Bečov nad Teplou"/>
    <n v="554995"/>
    <x v="51"/>
    <s v="12.837006"/>
    <s v="50.082758"/>
    <n v="420353999348"/>
    <x v="222"/>
    <s v="https://www.zusjlbecov.cz"/>
    <x v="5"/>
    <x v="2"/>
  </r>
  <r>
    <n v="77135"/>
    <x v="223"/>
    <s v="příspěvková organizace"/>
    <s v="veřejné"/>
    <s v="Karlovarský kraj"/>
    <x v="1"/>
    <x v="0"/>
    <x v="1"/>
    <x v="0"/>
    <s v="ne"/>
    <s v="ne"/>
    <s v="ne"/>
    <s v="ne"/>
    <s v="nám. 17. listopadu 710/12, 36005 Karlovy Vary"/>
    <n v="554961"/>
    <x v="50"/>
    <s v="12.85184"/>
    <s v="50.234883"/>
    <n v="420739322484"/>
    <x v="223"/>
    <s v="https://supskv.cz/"/>
    <x v="5"/>
    <x v="2"/>
  </r>
  <r>
    <n v="63553597"/>
    <x v="224"/>
    <s v="příspěvková organizace"/>
    <s v="veřejné"/>
    <s v="Karlovarský kraj"/>
    <x v="1"/>
    <x v="0"/>
    <x v="1"/>
    <x v="1"/>
    <s v="ne"/>
    <s v="ne"/>
    <s v="ne"/>
    <s v="ne"/>
    <s v="Bezručova 1312/17, 36001 Karlovy Vary"/>
    <n v="554961"/>
    <x v="50"/>
    <s v="12.874274"/>
    <s v="50.231556"/>
    <n v="420354224150"/>
    <x v="224"/>
    <s v="https://www.oakv.cz"/>
    <x v="5"/>
    <x v="2"/>
  </r>
  <r>
    <n v="70838992"/>
    <x v="225"/>
    <s v="příspěvková organizace"/>
    <s v="veřejné"/>
    <s v="Karlovarský kraj"/>
    <x v="0"/>
    <x v="1"/>
    <x v="0"/>
    <x v="0"/>
    <s v="ne"/>
    <s v="ne"/>
    <s v="ne"/>
    <s v="ne"/>
    <s v="Bezručova 1190/19, 36001 Karlovy Vary"/>
    <n v="554961"/>
    <x v="50"/>
    <s v="12.875231"/>
    <s v="50.232174"/>
    <n v="420777680166"/>
    <x v="225"/>
    <s v="https://www.zsnemkv.cz"/>
    <x v="5"/>
    <x v="2"/>
  </r>
  <r>
    <n v="669709"/>
    <x v="226"/>
    <s v="příspěvková organizace"/>
    <s v="veřejné"/>
    <s v="Karlovarský kraj"/>
    <x v="1"/>
    <x v="0"/>
    <x v="1"/>
    <x v="1"/>
    <s v="ne"/>
    <s v="ne"/>
    <s v="ne"/>
    <s v="ne"/>
    <s v="Poděbradská 1247/2, 36001 Karlovy Vary"/>
    <n v="554961"/>
    <x v="50"/>
    <s v="12.87576"/>
    <s v="50.226864"/>
    <n v="420353233936"/>
    <x v="226"/>
    <s v="https://www.zdravkakv.cz"/>
    <x v="5"/>
    <x v="2"/>
  </r>
  <r>
    <n v="520055"/>
    <x v="227"/>
    <s v="příspěvková organizace"/>
    <s v="veřejné"/>
    <s v="Karlovarský kraj"/>
    <x v="1"/>
    <x v="0"/>
    <x v="1"/>
    <x v="0"/>
    <s v="ne"/>
    <s v="ne"/>
    <s v="ne"/>
    <s v="ne"/>
    <s v="Ondřejská 1122/56, 36001 Karlovy Vary"/>
    <n v="554961"/>
    <x v="50"/>
    <s v="12.881997"/>
    <s v="50.227672"/>
    <n v="420353176611"/>
    <x v="227"/>
    <s v="https://www.ssstravovani.cz"/>
    <x v="5"/>
    <x v="2"/>
  </r>
  <r>
    <n v="669725"/>
    <x v="228"/>
    <s v="příspěvková organizace"/>
    <s v="veřejné"/>
    <s v="Karlovarský kraj"/>
    <x v="1"/>
    <x v="0"/>
    <x v="1"/>
    <x v="0"/>
    <s v="ne"/>
    <s v="ne"/>
    <s v="ne"/>
    <s v="ne"/>
    <s v="nám. K. Sabiny 159/16, 36001 Karlovy Vary"/>
    <n v="554961"/>
    <x v="50"/>
    <s v="12.885361"/>
    <s v="50.236186"/>
    <n v="420353362811"/>
    <x v="228"/>
    <s v="https://www.stavebniskolakv.cz"/>
    <x v="5"/>
    <x v="2"/>
  </r>
  <r>
    <n v="70845417"/>
    <x v="229"/>
    <s v="příspěvková organizace"/>
    <s v="veřejné"/>
    <s v="Karlovarský kraj"/>
    <x v="1"/>
    <x v="0"/>
    <x v="1"/>
    <x v="0"/>
    <s v="ne"/>
    <s v="ne"/>
    <s v="ne"/>
    <s v="ne"/>
    <s v="Národní 445/25, 36001 Karlovy Vary"/>
    <n v="554961"/>
    <x v="50"/>
    <s v="12.887607"/>
    <s v="50.233994"/>
    <n v="420353501111"/>
    <x v="229"/>
    <s v="https://www.gymkvary.cz"/>
    <x v="5"/>
    <x v="2"/>
  </r>
  <r>
    <n v="49753843"/>
    <x v="230"/>
    <s v="příspěvková organizace"/>
    <s v="veřejné"/>
    <s v="Karlovarský kraj"/>
    <x v="1"/>
    <x v="0"/>
    <x v="0"/>
    <x v="0"/>
    <s v="ne"/>
    <s v="ne"/>
    <s v="ne"/>
    <s v="ano"/>
    <s v="Lidická 590/38, 36001 Karlovy Vary"/>
    <n v="554961"/>
    <x v="50"/>
    <s v="12.8884406"/>
    <s v="50.2321944"/>
    <n v="420353176511"/>
    <x v="230"/>
    <s v="https://www.pppkv.cz"/>
    <x v="5"/>
    <x v="2"/>
  </r>
  <r>
    <n v="76988"/>
    <x v="231"/>
    <s v="příspěvková organizace"/>
    <s v="veřejné"/>
    <s v="Karlovarský kraj"/>
    <x v="1"/>
    <x v="0"/>
    <x v="0"/>
    <x v="0"/>
    <s v="ne"/>
    <s v="ne"/>
    <s v="ne"/>
    <s v="ano"/>
    <s v="Lidická 590/38, 36001 Karlovy Vary"/>
    <n v="554961"/>
    <x v="50"/>
    <s v="12.887746"/>
    <s v="50.232553"/>
    <n v="420354224411"/>
    <x v="231"/>
    <s v="https://www.dmkv.cz"/>
    <x v="5"/>
    <x v="2"/>
  </r>
  <r>
    <n v="19338716"/>
    <x v="232"/>
    <s v="příspěvková organizace"/>
    <s v="veřejné"/>
    <s v="Karlovarský kraj"/>
    <x v="1"/>
    <x v="0"/>
    <x v="0"/>
    <x v="0"/>
    <s v="ne"/>
    <s v="ne"/>
    <s v="ne"/>
    <s v="ano"/>
    <s v="Lidická 590/38, 36001 Karlovy Vary"/>
    <n v="554961"/>
    <x v="50"/>
    <s v="12.888505"/>
    <s v="50.231683"/>
    <n v="420776781180"/>
    <x v="232"/>
    <s v="https://www.bdkv.cz"/>
    <x v="5"/>
    <x v="2"/>
  </r>
  <r>
    <n v="49753789"/>
    <x v="233"/>
    <s v="příspěvková organizace"/>
    <s v="veřejné"/>
    <s v="Karlovarský kraj"/>
    <x v="1"/>
    <x v="0"/>
    <x v="1"/>
    <x v="1"/>
    <s v="ne"/>
    <s v="ne"/>
    <s v="ne"/>
    <s v="ne"/>
    <s v="Lidická 455/40 36001 Karlovy Vary"/>
    <n v="554961"/>
    <x v="50"/>
    <s v="12.88918"/>
    <s v="50.232575"/>
    <n v="420354224711"/>
    <x v="233"/>
    <s v="https://www.pedgym-kv.cz"/>
    <x v="5"/>
    <x v="2"/>
  </r>
  <r>
    <n v="574384"/>
    <x v="234"/>
    <s v="příspěvková organizace"/>
    <s v="veřejné"/>
    <s v="Karlovarský kraj"/>
    <x v="1"/>
    <x v="0"/>
    <x v="1"/>
    <x v="0"/>
    <s v="ne"/>
    <s v="ne"/>
    <s v="ne"/>
    <s v="ne"/>
    <s v="Hlavní 114/29, 36263 Dalovice"/>
    <n v="537918"/>
    <x v="56"/>
    <s v="12.892417"/>
    <s v="50.246902"/>
    <n v="420353224830"/>
    <x v="234"/>
    <s v="https://www.logistickaskola.cz"/>
    <x v="5"/>
    <x v="2"/>
  </r>
  <r>
    <n v="63553660"/>
    <x v="235"/>
    <s v="příspěvková organizace"/>
    <s v="veřejné"/>
    <s v="Karlovarský kraj"/>
    <x v="1"/>
    <x v="0"/>
    <x v="0"/>
    <x v="0"/>
    <s v="ne"/>
    <s v="ne"/>
    <s v="ne"/>
    <s v="ano"/>
    <s v="Dukelských hrdinů 610, 36301 Ostrov"/>
    <n v="555428"/>
    <x v="60"/>
    <s v="12.945082"/>
    <s v="50.303911"/>
    <n v="420353821875"/>
    <x v="235"/>
    <s v="https://www.ddkvo.cz"/>
    <x v="6"/>
    <x v="2"/>
  </r>
  <r>
    <n v="70839000"/>
    <x v="236"/>
    <s v="příspěvková organizace"/>
    <s v="veřejné"/>
    <s v="Karlovarský kraj"/>
    <x v="1"/>
    <x v="1"/>
    <x v="0"/>
    <x v="0"/>
    <s v="ne"/>
    <s v="ne"/>
    <s v="ne"/>
    <s v="ne"/>
    <s v="Krušnohorská 304, 36301 Ostrov"/>
    <n v="555428"/>
    <x v="60"/>
    <s v="12.94516"/>
    <s v="50.304747"/>
    <n v="420739329109"/>
    <x v="236"/>
    <s v="https://zsostrov-krusnohor.cz/cs"/>
    <x v="6"/>
    <x v="2"/>
  </r>
  <r>
    <n v="70845425"/>
    <x v="237"/>
    <s v="příspěvková organizace"/>
    <s v="veřejné"/>
    <s v="Karlovarský kraj"/>
    <x v="1"/>
    <x v="0"/>
    <x v="1"/>
    <x v="0"/>
    <s v="ne"/>
    <s v="ne"/>
    <s v="ne"/>
    <s v="ne"/>
    <s v="Klínovecká 1197, 36301 Ostrov"/>
    <n v="555428"/>
    <x v="60"/>
    <s v="12.952136"/>
    <s v="50.304766"/>
    <n v="420353416400"/>
    <x v="237"/>
    <s v="https://www.spsostrov.cz"/>
    <x v="6"/>
    <x v="2"/>
  </r>
  <r>
    <n v="49753771"/>
    <x v="238"/>
    <s v="příspěvková organizace"/>
    <s v="veřejné"/>
    <s v="Karlovarský kraj"/>
    <x v="1"/>
    <x v="0"/>
    <x v="1"/>
    <x v="0"/>
    <s v="ne"/>
    <s v="ne"/>
    <s v="ne"/>
    <s v="ne"/>
    <s v="Studentská 1205, 36301 Ostrov"/>
    <n v="555428"/>
    <x v="60"/>
    <s v="12.952738"/>
    <s v="50.302827"/>
    <n v="420353433761"/>
    <x v="238"/>
    <s v="https://www.gymostrov.cz"/>
    <x v="6"/>
    <x v="2"/>
  </r>
  <r>
    <n v="49754050"/>
    <x v="239"/>
    <s v="příspěvková organizace"/>
    <s v="veřejné"/>
    <s v="Karlovarský kraj"/>
    <x v="1"/>
    <x v="0"/>
    <x v="1"/>
    <x v="0"/>
    <s v="ne"/>
    <s v="ne"/>
    <s v="ne"/>
    <s v="ne"/>
    <s v="Žižkov 345, 36452 Žlutice"/>
    <n v="555762"/>
    <x v="68"/>
    <s v="13.16005"/>
    <s v="50.096452"/>
    <n v="420353393167"/>
    <x v="239"/>
    <s v="https://www.slszlutice.cz"/>
    <x v="5"/>
    <x v="2"/>
  </r>
  <r>
    <n v="70845433"/>
    <x v="240"/>
    <s v="příspěvková organizace"/>
    <s v="soukromé"/>
    <s v="soukromý subjekt"/>
    <x v="1"/>
    <x v="1"/>
    <x v="0"/>
    <x v="0"/>
    <s v="ne"/>
    <s v="ne"/>
    <s v="ne"/>
    <s v="ano"/>
    <s v="Jiráskova 344 36452 Žlutice"/>
    <n v="555762"/>
    <x v="68"/>
    <s v="13.16026"/>
    <s v="50.091067"/>
    <n v="420606889724"/>
    <x v="240"/>
    <s v="http://www.ddszlutice.cz/"/>
    <x v="5"/>
    <x v="2"/>
  </r>
  <r>
    <n v="4720997"/>
    <x v="241"/>
    <s v="školská právnická osoba"/>
    <s v="soukromé"/>
    <s v="soukromý subjekt"/>
    <x v="1"/>
    <x v="0"/>
    <x v="1"/>
    <x v="0"/>
    <s v="ne"/>
    <s v="ne"/>
    <s v="ne"/>
    <s v="ne"/>
    <s v="Plzeňská 1985/10, 35201 Aš"/>
    <n v="554499"/>
    <x v="2"/>
    <s v="12.193472"/>
    <s v="50.21701"/>
    <n v="420357070652"/>
    <x v="241"/>
    <s v="https://www.euroinstitut.cz/euroinstitut-karlovarsky-kraj/"/>
    <x v="0"/>
    <x v="0"/>
  </r>
  <r>
    <n v="18033318"/>
    <x v="242"/>
    <s v="školská právnická osoba"/>
    <s v="soukromé"/>
    <s v="soukromý subjekt"/>
    <x v="1"/>
    <x v="1"/>
    <x v="0"/>
    <x v="0"/>
    <s v="ne"/>
    <s v="ne"/>
    <s v="ne"/>
    <s v="ne"/>
    <s v="Hlavní 2514/106, 35201 Aš"/>
    <n v="554499"/>
    <x v="2"/>
    <s v="12.194256"/>
    <s v="50.216642"/>
    <n v="420731885106"/>
    <x v="242"/>
    <s v="https://neonovaskola.cz/"/>
    <x v="0"/>
    <x v="0"/>
  </r>
  <r>
    <n v="10717781"/>
    <x v="243"/>
    <s v="zapsaný spolek"/>
    <s v="soukromé"/>
    <s v="soukromý subjekt"/>
    <x v="0"/>
    <x v="0"/>
    <x v="0"/>
    <x v="0"/>
    <s v="ne"/>
    <s v="ne"/>
    <s v="ne"/>
    <s v="ne"/>
    <s v="Dvůr pod lipami 1766/1, 35002 Cheb"/>
    <n v="554481"/>
    <x v="7"/>
    <s v="12.351716"/>
    <s v="50.083097"/>
    <n v="420775372830"/>
    <x v="243"/>
    <s v="https://lesni-klub-pod-lipami-cheb.webnode.cz/"/>
    <x v="1"/>
    <x v="0"/>
  </r>
  <r>
    <n v="11689307"/>
    <x v="244"/>
    <s v="školská právnická osoba"/>
    <s v="soukromé"/>
    <s v="soukromý subjekt"/>
    <x v="0"/>
    <x v="1"/>
    <x v="0"/>
    <x v="0"/>
    <s v="ne"/>
    <s v="ne"/>
    <s v="ne"/>
    <s v="ne"/>
    <s v="Divadelní náměstí 554/8, 35002 Cheb"/>
    <n v="554481"/>
    <x v="7"/>
    <s v="12.366726"/>
    <s v="50.077056"/>
    <n v="420724369859"/>
    <x v="244"/>
    <s v="https://waldorfcheb.cz/"/>
    <x v="1"/>
    <x v="0"/>
  </r>
  <r>
    <n v="25249355"/>
    <x v="245"/>
    <s v="společnost s ručením omezeným"/>
    <s v="soukromé"/>
    <s v="soukromý subjekt"/>
    <x v="1"/>
    <x v="1"/>
    <x v="1"/>
    <x v="0"/>
    <s v="ne"/>
    <s v="ne"/>
    <s v="ne"/>
    <s v="ne"/>
    <s v="Jánské náměstí 256/15, 35001 Cheb"/>
    <n v="554481"/>
    <x v="7"/>
    <s v="12.367883"/>
    <s v="50.081327"/>
    <n v="420354430301"/>
    <x v="245"/>
    <s v="http://www.schs.cz/"/>
    <x v="1"/>
    <x v="0"/>
  </r>
  <r>
    <n v="3632504"/>
    <x v="246"/>
    <s v="školská právnická osoba"/>
    <s v="soukromé"/>
    <s v="soukromý subjekt"/>
    <x v="0"/>
    <x v="0"/>
    <x v="0"/>
    <x v="0"/>
    <s v="ne"/>
    <s v="ne"/>
    <s v="ne"/>
    <s v="ne"/>
    <s v="26. dubna 2715/7, 35002 Cheb"/>
    <n v="554481"/>
    <x v="7"/>
    <s v="12.370009"/>
    <s v="50.076375"/>
    <n v="420737207495"/>
    <x v="246"/>
    <s v="https://cheb.diakonie.cz/"/>
    <x v="1"/>
    <x v="0"/>
  </r>
  <r>
    <n v="48135453"/>
    <x v="247"/>
    <s v="organizační složka státu"/>
    <s v="veřejné"/>
    <s v="stát"/>
    <x v="1"/>
    <x v="0"/>
    <x v="1"/>
    <x v="0"/>
    <s v="ne"/>
    <s v="ne"/>
    <s v="ne"/>
    <s v="ne"/>
    <s v="Komenského 759, 35601 Sokolov"/>
    <n v="560286"/>
    <x v="21"/>
    <s v="12.639017"/>
    <s v="50.178288"/>
    <n v="420234145200"/>
    <x v="247"/>
    <s v="https://www.skolamv.cz/studujici/stredni-policejni-skola-sokolov.html"/>
    <x v="3"/>
    <x v="1"/>
  </r>
  <r>
    <n v="21640262"/>
    <x v="248"/>
    <s v="školská právnická osoba"/>
    <s v="soukromé"/>
    <s v="soukromý subjekt"/>
    <x v="1"/>
    <x v="1"/>
    <x v="0"/>
    <x v="0"/>
    <s v="ne"/>
    <s v="ne"/>
    <s v="ne"/>
    <s v="ne"/>
    <s v="Rooseweltova 254, 35601 Sokolov"/>
    <n v="560286"/>
    <x v="21"/>
    <s v="12.640352"/>
    <s v="50.180888"/>
    <n v="420776860910"/>
    <x v="248"/>
    <s v="https://www.skolavila.cz/"/>
    <x v="3"/>
    <x v="1"/>
  </r>
  <r>
    <n v="28002512"/>
    <x v="249"/>
    <s v="společnost s ručením omezeným"/>
    <s v="soukromé"/>
    <s v="soukromý subjekt"/>
    <x v="1"/>
    <x v="0"/>
    <x v="0"/>
    <x v="0"/>
    <s v="ne"/>
    <s v="ne"/>
    <s v="ne"/>
    <s v="ano"/>
    <s v="Jednoty 1628, 35101 Sokolov"/>
    <n v="560286"/>
    <x v="21"/>
    <s v="12.645531"/>
    <s v="50.183734"/>
    <n v="420352466216"/>
    <x v="249"/>
    <s v="https://www.sokorest.cz/nase-sluby/skolni-stravovani"/>
    <x v="3"/>
    <x v="1"/>
  </r>
  <r>
    <n v="60162694"/>
    <x v="250"/>
    <s v="organizační složka státu"/>
    <s v="veřejné"/>
    <s v="stát"/>
    <x v="1"/>
    <x v="0"/>
    <x v="1"/>
    <x v="0"/>
    <s v="ne"/>
    <s v="ne"/>
    <s v="ne"/>
    <s v="ne"/>
    <s v="Jednoty 1620, 35601 Sokolov"/>
    <n v="560286"/>
    <x v="21"/>
    <s v="12.645863"/>
    <s v="50.182787"/>
    <n v="420973274201"/>
    <x v="250"/>
    <s v="https://www.vsmt.cz/"/>
    <x v="3"/>
    <x v="1"/>
  </r>
  <r>
    <n v="49790820"/>
    <x v="251"/>
    <s v="společnost s ručením omezeným"/>
    <s v="soukromé"/>
    <s v="soukromý subjekt"/>
    <x v="1"/>
    <x v="0"/>
    <x v="1"/>
    <x v="0"/>
    <s v="ne"/>
    <s v="ne"/>
    <s v="ne"/>
    <s v="ne"/>
    <s v="Hornická 1569, 35605 Sokolov"/>
    <n v="560286"/>
    <x v="21"/>
    <s v="12.658735"/>
    <s v="50.17594"/>
    <n v="420352628728"/>
    <x v="251"/>
    <s v="https://www.e-soas.cz/"/>
    <x v="3"/>
    <x v="1"/>
  </r>
  <r>
    <n v="2881888"/>
    <x v="252"/>
    <s v="společnost s ručením omezeným"/>
    <s v="soukromé"/>
    <s v="soukromý subjekt"/>
    <x v="1"/>
    <x v="1"/>
    <x v="0"/>
    <x v="0"/>
    <s v="ne"/>
    <s v="ne"/>
    <s v="ne"/>
    <s v="ne"/>
    <s v="Mánesova 1672, 35601 Sokolov"/>
    <n v="560286"/>
    <x v="21"/>
    <s v="12.6748442"/>
    <s v="50.1738931"/>
    <n v="420602664665"/>
    <x v="252"/>
    <s v="https://www.facebook.com/carolina.school/"/>
    <x v="3"/>
    <x v="1"/>
  </r>
  <r>
    <n v="25232991"/>
    <x v="253"/>
    <s v="společnost s ručením omezeným"/>
    <s v="soukromé"/>
    <s v="soukromý subjekt"/>
    <x v="0"/>
    <x v="1"/>
    <x v="1"/>
    <x v="0"/>
    <s v="ne"/>
    <s v="ne"/>
    <s v="ne"/>
    <s v="ne"/>
    <s v="Mánesova 1672, 35601 Sokolov"/>
    <n v="560286"/>
    <x v="21"/>
    <s v="12.675284"/>
    <s v="50.174063"/>
    <n v="420359807052"/>
    <x v="253"/>
    <s v="https://www.skolamanesova.cz/"/>
    <x v="3"/>
    <x v="1"/>
  </r>
  <r>
    <n v="25220284"/>
    <x v="254"/>
    <s v="veřejná obchodní společnost"/>
    <s v="soukromé"/>
    <s v="soukromý subjekt"/>
    <x v="0"/>
    <x v="0"/>
    <x v="0"/>
    <x v="0"/>
    <s v="ne"/>
    <s v="ne"/>
    <s v="ne"/>
    <s v="ne"/>
    <s v="Tyršova 438/19, 35301 Mariánské Lázně"/>
    <n v="554642"/>
    <x v="35"/>
    <s v="12.699433"/>
    <s v="49.966149"/>
    <n v="420724274946"/>
    <x v="254"/>
    <s v="https://www.facebook.com/p/M%C5%A0-Pram%C3%ADnek-100057190611718/"/>
    <x v="4"/>
    <x v="0"/>
  </r>
  <r>
    <n v="1407104"/>
    <x v="255"/>
    <s v="školská právnická osoba"/>
    <s v="soukromé"/>
    <s v="soukromý subjekt"/>
    <x v="0"/>
    <x v="1"/>
    <x v="0"/>
    <x v="0"/>
    <s v="ne"/>
    <s v="ne"/>
    <s v="ne"/>
    <s v="ne"/>
    <s v="Poštovní 160/17, 35301 Mariánské Lázně"/>
    <n v="554642"/>
    <x v="35"/>
    <s v="12.704136"/>
    <s v="49.971208"/>
    <n v="420605840509"/>
    <x v="255"/>
    <s v="https://www.ctyrlistekml.cz/"/>
    <x v="4"/>
    <x v="0"/>
  </r>
  <r>
    <n v="26406624"/>
    <x v="256"/>
    <s v="společnost s ručením omezeným"/>
    <s v="soukromé"/>
    <s v="soukromý subjekt"/>
    <x v="1"/>
    <x v="0"/>
    <x v="1"/>
    <x v="0"/>
    <s v="ne"/>
    <s v="ne"/>
    <s v="ne"/>
    <s v="ne"/>
    <s v="Mariánské Lázně 569, 35301 Mariánské Lázně"/>
    <n v="554642"/>
    <x v="35"/>
    <s v="12.722912"/>
    <s v="49.972377"/>
    <n v="420606112336"/>
    <x v="256"/>
    <s v="http://www.jezdeckaakademie.cz/"/>
    <x v="4"/>
    <x v="0"/>
  </r>
  <r>
    <n v="29156521"/>
    <x v="257"/>
    <s v="obecně prospěšná společnost"/>
    <s v="soukromé"/>
    <s v="soukromý subjekt"/>
    <x v="0"/>
    <x v="1"/>
    <x v="0"/>
    <x v="0"/>
    <s v="ne"/>
    <s v="ne"/>
    <s v="ne"/>
    <s v="ne"/>
    <s v="Svatošská 269/21, 36007 Karlovy Vary"/>
    <n v="554961"/>
    <x v="50"/>
    <s v="12.82253"/>
    <s v="50.20632"/>
    <n v="420604183691"/>
    <x v="257"/>
    <s v="https://www.montessori-elipsa.cz/mselipsa/"/>
    <x v="5"/>
    <x v="2"/>
  </r>
  <r>
    <n v="3756122"/>
    <x v="258"/>
    <s v="zapsaný spolek"/>
    <s v="soukromé"/>
    <s v="soukromý subjekt"/>
    <x v="0"/>
    <x v="0"/>
    <x v="0"/>
    <x v="0"/>
    <s v="ne"/>
    <s v="ne"/>
    <s v="ne"/>
    <s v="ne"/>
    <s v="Komenského 97/6, 36007 Karlovy Vary"/>
    <n v="554961"/>
    <x v="50"/>
    <s v="12.82514"/>
    <s v="50.203689"/>
    <n v="420773581684"/>
    <x v="258"/>
    <s v="https://svatosky-skolka.cz/"/>
    <x v="5"/>
    <x v="2"/>
  </r>
  <r>
    <n v="29125162"/>
    <x v="259"/>
    <s v="společnost s ručením omezeným"/>
    <s v="soukromé"/>
    <s v="soukromý subjekt"/>
    <x v="0"/>
    <x v="1"/>
    <x v="0"/>
    <x v="0"/>
    <s v="ne"/>
    <s v="ne"/>
    <s v="ne"/>
    <s v="ano"/>
    <s v="Studentská 312/65, 36007 Karlovy Vary"/>
    <n v="554961"/>
    <x v="50"/>
    <s v="12.826334"/>
    <s v="50.209568"/>
    <n v="420353034600"/>
    <x v="259"/>
    <s v="https://msmoudrasova.cz/"/>
    <x v="5"/>
    <x v="2"/>
  </r>
  <r>
    <n v="29125812"/>
    <x v="260"/>
    <s v="obecně prospěšná společnost"/>
    <s v="soukromé"/>
    <s v="soukromý subjekt"/>
    <x v="0"/>
    <x v="1"/>
    <x v="0"/>
    <x v="0"/>
    <s v="ne"/>
    <s v="ne"/>
    <s v="ne"/>
    <s v="ne"/>
    <s v="Modenská 150/15, 36007 Karlovy Vary"/>
    <n v="554961"/>
    <x v="50"/>
    <s v="12.828019"/>
    <s v="50.210171"/>
    <n v="420353034037"/>
    <x v="260"/>
    <s v="https://wlastovka.cz/"/>
    <x v="5"/>
    <x v="2"/>
  </r>
  <r>
    <n v="22056882"/>
    <x v="261"/>
    <s v="společnost s ručením omezeným"/>
    <s v="soukromé"/>
    <s v="soukromý subjekt"/>
    <x v="1"/>
    <x v="0"/>
    <x v="0"/>
    <x v="0"/>
    <s v="ne"/>
    <s v="ne"/>
    <s v="ne"/>
    <s v="ano"/>
    <s v="Chebská 38/5, 36006 Karlovy Vary"/>
    <n v="554961"/>
    <x v="50"/>
    <s v="12.840273"/>
    <s v="50.230884"/>
    <n v="420725523712"/>
    <x v="261"/>
    <s v="https://www.veselaveda.cz/"/>
    <x v="5"/>
    <x v="2"/>
  </r>
  <r>
    <n v="25207768"/>
    <x v="262"/>
    <s v="společnost s ručením omezeným"/>
    <s v="soukromé"/>
    <s v="soukromý subjekt"/>
    <x v="1"/>
    <x v="0"/>
    <x v="1"/>
    <x v="0"/>
    <s v="ne"/>
    <s v="ne"/>
    <s v="ne"/>
    <s v="ne"/>
    <s v="Konečná 908/21, 36005 Karlovy Vary"/>
    <n v="554961"/>
    <x v="50"/>
    <s v="12.852584"/>
    <s v="50.240108"/>
    <n v="420353565689"/>
    <x v="262"/>
    <s v="https://www.soskv.cz/"/>
    <x v="5"/>
    <x v="2"/>
  </r>
  <r>
    <n v="71340696"/>
    <x v="263"/>
    <s v="školská právnická osoba"/>
    <s v="veřejné"/>
    <s v="obec v Karlovarském kraji"/>
    <x v="0"/>
    <x v="1"/>
    <x v="0"/>
    <x v="0"/>
    <s v="ne"/>
    <s v="ne"/>
    <s v="ne"/>
    <s v="ne"/>
    <s v="Děpoltovická 71, 36261 Otovice"/>
    <n v="555533"/>
    <x v="72"/>
    <s v="12.871188"/>
    <s v="50.25562"/>
    <n v="420353567165"/>
    <x v="263"/>
    <s v="https://www.skolaplnapohody.cz/"/>
    <x v="5"/>
    <x v="2"/>
  </r>
  <r>
    <n v="26325233"/>
    <x v="264"/>
    <s v="společnost s ručením omezeným"/>
    <s v="soukromé"/>
    <s v="soukromý subjekt"/>
    <x v="1"/>
    <x v="0"/>
    <x v="1"/>
    <x v="0"/>
    <s v="ne"/>
    <s v="ne"/>
    <s v="ne"/>
    <s v="ne"/>
    <s v="T. G. Masaryka 559/1, 36001 Karlovy Vary"/>
    <n v="554961"/>
    <x v="50"/>
    <s v="12.874078"/>
    <s v="50.228944"/>
    <n v="420724829247"/>
    <x v="264"/>
    <s v="https://www.trivis-kv.cz/"/>
    <x v="5"/>
    <x v="2"/>
  </r>
  <r>
    <n v="29079233"/>
    <x v="265"/>
    <s v="společnost s ručením omezeným"/>
    <s v="soukromé"/>
    <s v="soukromý subjekt"/>
    <x v="0"/>
    <x v="0"/>
    <x v="0"/>
    <x v="0"/>
    <s v="ne"/>
    <s v="ne"/>
    <s v="ne"/>
    <s v="ne"/>
    <s v="Krále Jiřího 1341/4, 36001 Karlovy Vary"/>
    <n v="554961"/>
    <x v="50"/>
    <s v="12.875426"/>
    <s v="50.226197"/>
    <n v="420777740193"/>
    <x v="265"/>
    <s v="https://msbenedikt.cz/"/>
    <x v="5"/>
    <x v="2"/>
  </r>
  <r>
    <n v="26332914"/>
    <x v="266"/>
    <s v="obecně prospěšná společnost"/>
    <s v="soukromé"/>
    <s v="soukromý subjekt"/>
    <x v="1"/>
    <x v="0"/>
    <x v="0"/>
    <x v="0"/>
    <s v="ne"/>
    <s v="ne"/>
    <s v="ne"/>
    <s v="ano"/>
    <s v="Mírové náměstí 316/2, 36091 Karlovy Vary"/>
    <n v="554961"/>
    <x v="50"/>
    <s v="12.878589"/>
    <s v="50.220017"/>
    <n v="420353109662"/>
    <x v="266"/>
    <s v="https://www.pupp.cz/spv"/>
    <x v="5"/>
    <x v="2"/>
  </r>
  <r>
    <n v="25210564"/>
    <x v="267"/>
    <s v="společnost s ručením omezeným"/>
    <s v="soukromé"/>
    <s v="soukromý subjekt"/>
    <x v="1"/>
    <x v="0"/>
    <x v="1"/>
    <x v="0"/>
    <s v="ne"/>
    <s v="ne"/>
    <s v="ne"/>
    <s v="ne"/>
    <s v="nám. V. Řezáče 136/5, 36009 Karlovy Vary"/>
    <n v="554961"/>
    <x v="50"/>
    <s v="12.880333"/>
    <s v="50.235134"/>
    <n v="420353224373"/>
    <x v="267"/>
    <s v="https://soapodnikatel.cz/"/>
    <x v="5"/>
    <x v="2"/>
  </r>
  <r>
    <n v="9824529"/>
    <x v="268"/>
    <s v="společnost s ručením omezeným"/>
    <s v="soukromé"/>
    <s v="soukromý subjekt"/>
    <x v="1"/>
    <x v="1"/>
    <x v="0"/>
    <x v="0"/>
    <s v="ne"/>
    <s v="ne"/>
    <s v="ne"/>
    <s v="ne"/>
    <s v="Slovenská 477/5, 36001 Karlovy Vary"/>
    <n v="554961"/>
    <x v="50"/>
    <s v="12.88048"/>
    <s v="50.21378"/>
    <n v="420608583308"/>
    <x v="268"/>
    <s v="https://carlsbadmontessori.cz/"/>
    <x v="5"/>
    <x v="2"/>
  </r>
  <r>
    <n v="49777513"/>
    <x v="269"/>
    <s v="vysoká škola (veřejná, státní)"/>
    <s v="veřejné"/>
    <s v="stát"/>
    <x v="1"/>
    <x v="0"/>
    <x v="0"/>
    <x v="0"/>
    <s v="ano"/>
    <s v="ne"/>
    <s v="ne"/>
    <s v="ne"/>
    <s v="Hradební 22, 350 11 Cheb"/>
    <n v="554481"/>
    <x v="7"/>
    <s v="12.3640369"/>
    <s v="50.0766447"/>
    <n v="420377633001"/>
    <x v="269"/>
    <s v="https://www.fek.zcu.cz/studium.php"/>
    <x v="1"/>
    <x v="0"/>
  </r>
  <r>
    <n v="49777513"/>
    <x v="270"/>
    <s v="vysoká škola (veřejná, státní)"/>
    <s v="veřejné"/>
    <s v="stát"/>
    <x v="1"/>
    <x v="0"/>
    <x v="0"/>
    <x v="0"/>
    <s v="ano"/>
    <s v="ne"/>
    <s v="ne"/>
    <s v="ne"/>
    <s v="Hradební 22, 350 11 Cheb"/>
    <n v="554481"/>
    <x v="7"/>
    <s v="12.3638278"/>
    <s v="50.0758617"/>
    <n v="420377636013"/>
    <x v="270"/>
    <s v="https://www.fpe.zcu.cz/cs/Faculty/About-us/cheb"/>
    <x v="1"/>
    <x v="0"/>
  </r>
  <r>
    <n v="49777513"/>
    <x v="270"/>
    <s v="vysoká škola (veřejná, státní)"/>
    <s v="veřejné"/>
    <s v="stát"/>
    <x v="1"/>
    <x v="0"/>
    <x v="0"/>
    <x v="0"/>
    <s v="ano"/>
    <s v="ne"/>
    <s v="ne"/>
    <s v="ne"/>
    <s v="nábřeží Jana Palacha 20, 360 01 Karlovy Vary"/>
    <n v="554961"/>
    <x v="50"/>
    <s v="12.873537"/>
    <s v="50.230958"/>
    <n v="420377636014"/>
    <x v="271"/>
    <s v="https://www.fpe.zcu.cz/cs/Faculty/About-us/karlovy-vary.html"/>
    <x v="5"/>
    <x v="2"/>
  </r>
  <r>
    <n v="60460709"/>
    <x v="271"/>
    <s v="vysoká škola (veřejná, státní)"/>
    <s v="veřejné"/>
    <s v="stát"/>
    <x v="1"/>
    <x v="0"/>
    <x v="0"/>
    <x v="0"/>
    <s v="ano"/>
    <s v="ne"/>
    <s v="ne"/>
    <s v="ne"/>
    <s v="Krajský úřad Karlovarského kraje, Závodní 353/88, 360 21 Karlovy Vary"/>
    <n v="554961"/>
    <x v="50"/>
    <s v="12.823912"/>
    <s v="50.218579"/>
    <n v="420224384351"/>
    <x v="272"/>
    <s v="https://www.fzp.czu.cz/cs"/>
    <x v="5"/>
    <x v="2"/>
  </r>
  <r>
    <n v="4274644"/>
    <x v="272"/>
    <s v="akciová společnost"/>
    <s v="soukromé"/>
    <s v="soukromý subjekt"/>
    <x v="1"/>
    <x v="0"/>
    <x v="0"/>
    <x v="0"/>
    <s v="ano"/>
    <s v="ne"/>
    <s v="ne"/>
    <s v="ne"/>
    <s v="T. G. Masaryka 541/3, 360 01 Karlovy Vary"/>
    <n v="554961"/>
    <x v="50"/>
    <s v="12.873336"/>
    <s v="50.229099"/>
    <n v="420357070081"/>
    <x v="273"/>
    <s v="https://www.vsfs.cz/?id=2450-studijni-stredisko-karlov"/>
    <x v="5"/>
    <x v="2"/>
  </r>
  <r>
    <n v="27235530"/>
    <x v="273"/>
    <s v="obecně prospěšná společnost"/>
    <s v="soukromé"/>
    <s v="soukromý subjekt"/>
    <x v="1"/>
    <x v="0"/>
    <x v="0"/>
    <x v="0"/>
    <s v="ano"/>
    <s v="ne"/>
    <s v="ne"/>
    <s v="ne"/>
    <s v="Poláčkova 2048, 356 01 Sokolov"/>
    <n v="560286"/>
    <x v="21"/>
    <s v="12.661219"/>
    <s v="50.173854"/>
    <n v="420210082418"/>
    <x v="274"/>
    <s v="https://www.vszdrav.cz/odloucene-pracoviste"/>
    <x v="3"/>
    <x v="1"/>
  </r>
  <r>
    <n v="49123947"/>
    <x v="274"/>
    <m/>
    <s v="MŠMT"/>
    <s v="obec v Karlovarském kraji"/>
    <x v="1"/>
    <x v="1"/>
    <x v="0"/>
    <x v="0"/>
    <s v="ne"/>
    <s v="ne"/>
    <s v="ne"/>
    <s v="ne"/>
    <s v="Jiráskova 344"/>
    <n v="555657"/>
    <x v="61"/>
    <m/>
    <m/>
    <n v="777149668"/>
    <x v="275"/>
    <s v="https://www.vubuskovice.cz/kontakty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96F1D-22F4-4743-95E1-BE4E996BBB52}" name="Kontingenční tabulka2" cacheId="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B25:D214" firstHeaderRow="1" firstDataRow="2" firstDataCol="1"/>
  <pivotFields count="23">
    <pivotField dataField="1" showAll="0"/>
    <pivotField axis="axisRow" showAll="0">
      <items count="276">
        <item x="153"/>
        <item x="22"/>
        <item x="166"/>
        <item x="28"/>
        <item x="34"/>
        <item x="128"/>
        <item x="26"/>
        <item x="32"/>
        <item x="35"/>
        <item x="232"/>
        <item x="268"/>
        <item x="271"/>
        <item x="209"/>
        <item x="235"/>
        <item x="220"/>
        <item x="240"/>
        <item x="231"/>
        <item x="219"/>
        <item x="16"/>
        <item x="147"/>
        <item x="39"/>
        <item x="131"/>
        <item x="157"/>
        <item x="54"/>
        <item x="140"/>
        <item x="23"/>
        <item x="91"/>
        <item x="218"/>
        <item x="208"/>
        <item x="210"/>
        <item x="238"/>
        <item x="214"/>
        <item x="217"/>
        <item x="211"/>
        <item x="216"/>
        <item x="256"/>
        <item x="243"/>
        <item x="258"/>
        <item x="135"/>
        <item x="6"/>
        <item x="8"/>
        <item x="11"/>
        <item x="200"/>
        <item x="82"/>
        <item x="168"/>
        <item x="88"/>
        <item x="70"/>
        <item x="143"/>
        <item x="75"/>
        <item x="246"/>
        <item x="83"/>
        <item x="61"/>
        <item x="19"/>
        <item x="64"/>
        <item x="148"/>
        <item x="146"/>
        <item x="1"/>
        <item x="172"/>
        <item x="29"/>
        <item x="37"/>
        <item x="21"/>
        <item x="33"/>
        <item x="36"/>
        <item x="31"/>
        <item x="130"/>
        <item x="198"/>
        <item x="102"/>
        <item x="103"/>
        <item x="47"/>
        <item x="49"/>
        <item x="51"/>
        <item x="55"/>
        <item x="0"/>
        <item x="178"/>
        <item x="144"/>
        <item x="57"/>
        <item x="59"/>
        <item x="125"/>
        <item x="77"/>
        <item x="38"/>
        <item x="162"/>
        <item x="118"/>
        <item x="129"/>
        <item x="122"/>
        <item x="119"/>
        <item x="126"/>
        <item x="46"/>
        <item x="183"/>
        <item x="187"/>
        <item x="184"/>
        <item x="185"/>
        <item x="254"/>
        <item x="17"/>
        <item x="191"/>
        <item x="25"/>
        <item x="100"/>
        <item x="90"/>
        <item x="95"/>
        <item x="97"/>
        <item x="89"/>
        <item x="84"/>
        <item x="80"/>
        <item x="115"/>
        <item x="201"/>
        <item x="196"/>
        <item x="71"/>
        <item x="190"/>
        <item x="152"/>
        <item x="170"/>
        <item x="104"/>
        <item x="114"/>
        <item x="197"/>
        <item x="101"/>
        <item x="117"/>
        <item x="109"/>
        <item x="204"/>
        <item x="110"/>
        <item x="111"/>
        <item x="106"/>
        <item x="40"/>
        <item x="180"/>
        <item x="10"/>
        <item x="113"/>
        <item x="257"/>
        <item x="242"/>
        <item x="224"/>
        <item x="230"/>
        <item x="229"/>
        <item x="249"/>
        <item x="265"/>
        <item x="267"/>
        <item x="251"/>
        <item x="266"/>
        <item x="239"/>
        <item x="262"/>
        <item x="228"/>
        <item x="233"/>
        <item x="237"/>
        <item x="241"/>
        <item x="234"/>
        <item x="227"/>
        <item x="215"/>
        <item x="52"/>
        <item x="223"/>
        <item x="212"/>
        <item x="226"/>
        <item x="245"/>
        <item x="253"/>
        <item x="248"/>
        <item x="213"/>
        <item x="252"/>
        <item x="264"/>
        <item x="261"/>
        <item x="250"/>
        <item x="274"/>
        <item x="272"/>
        <item x="273"/>
        <item x="247"/>
        <item x="244"/>
        <item x="260"/>
        <item x="255"/>
        <item x="151"/>
        <item x="3"/>
        <item x="156"/>
        <item x="137"/>
        <item x="176"/>
        <item x="65"/>
        <item x="92"/>
        <item x="14"/>
        <item x="138"/>
        <item x="205"/>
        <item x="73"/>
        <item x="60"/>
        <item x="195"/>
        <item x="76"/>
        <item x="13"/>
        <item x="66"/>
        <item x="44"/>
        <item x="45"/>
        <item x="43"/>
        <item x="68"/>
        <item x="188"/>
        <item x="142"/>
        <item x="18"/>
        <item x="123"/>
        <item x="225"/>
        <item x="263"/>
        <item x="67"/>
        <item x="96"/>
        <item x="72"/>
        <item x="207"/>
        <item x="202"/>
        <item x="192"/>
        <item x="74"/>
        <item x="189"/>
        <item x="206"/>
        <item x="4"/>
        <item x="221"/>
        <item x="160"/>
        <item x="203"/>
        <item x="12"/>
        <item x="7"/>
        <item x="199"/>
        <item x="85"/>
        <item x="69"/>
        <item x="164"/>
        <item x="15"/>
        <item x="62"/>
        <item x="149"/>
        <item x="145"/>
        <item x="2"/>
        <item x="171"/>
        <item x="30"/>
        <item x="127"/>
        <item x="133"/>
        <item x="174"/>
        <item x="175"/>
        <item x="107"/>
        <item x="155"/>
        <item x="158"/>
        <item x="165"/>
        <item x="159"/>
        <item x="154"/>
        <item x="177"/>
        <item x="99"/>
        <item x="53"/>
        <item x="48"/>
        <item x="58"/>
        <item x="136"/>
        <item x="78"/>
        <item x="42"/>
        <item x="179"/>
        <item x="161"/>
        <item x="132"/>
        <item x="120"/>
        <item x="139"/>
        <item x="124"/>
        <item x="186"/>
        <item x="181"/>
        <item x="236"/>
        <item x="173"/>
        <item x="24"/>
        <item x="87"/>
        <item x="93"/>
        <item x="86"/>
        <item x="81"/>
        <item x="98"/>
        <item x="194"/>
        <item x="112"/>
        <item x="167"/>
        <item x="94"/>
        <item x="116"/>
        <item x="105"/>
        <item x="259"/>
        <item x="193"/>
        <item x="163"/>
        <item x="108"/>
        <item x="63"/>
        <item x="150"/>
        <item x="134"/>
        <item x="20"/>
        <item x="27"/>
        <item x="222"/>
        <item x="50"/>
        <item x="56"/>
        <item x="41"/>
        <item x="121"/>
        <item x="141"/>
        <item x="182"/>
        <item x="5"/>
        <item x="79"/>
        <item x="169"/>
        <item x="269"/>
        <item x="270"/>
        <item x="9"/>
        <item t="default"/>
      </items>
    </pivotField>
    <pivotField showAll="0"/>
    <pivotField showAll="0"/>
    <pivotField showAll="0"/>
    <pivotField multipleItemSelectionAllowed="1" showAll="0">
      <items count="3">
        <item x="1"/>
        <item h="1" x="0"/>
        <item t="default"/>
      </items>
    </pivotField>
    <pivotField axis="axisCol"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4">
        <item x="49"/>
        <item x="2"/>
        <item x="51"/>
        <item x="65"/>
        <item x="43"/>
        <item x="28"/>
        <item x="54"/>
        <item x="20"/>
        <item x="25"/>
        <item x="56"/>
        <item x="29"/>
        <item x="17"/>
        <item x="30"/>
        <item x="5"/>
        <item x="16"/>
        <item x="4"/>
        <item x="44"/>
        <item x="48"/>
        <item x="1"/>
        <item x="55"/>
        <item x="7"/>
        <item x="42"/>
        <item x="69"/>
        <item x="59"/>
        <item x="23"/>
        <item x="50"/>
        <item x="57"/>
        <item x="15"/>
        <item x="33"/>
        <item x="13"/>
        <item x="0"/>
        <item x="58"/>
        <item x="47"/>
        <item x="14"/>
        <item x="62"/>
        <item x="26"/>
        <item x="3"/>
        <item x="11"/>
        <item x="41"/>
        <item x="27"/>
        <item x="9"/>
        <item x="35"/>
        <item x="52"/>
        <item x="12"/>
        <item x="38"/>
        <item x="45"/>
        <item x="40"/>
        <item x="10"/>
        <item x="19"/>
        <item x="60"/>
        <item x="46"/>
        <item x="6"/>
        <item x="39"/>
        <item x="18"/>
        <item x="32"/>
        <item x="72"/>
        <item x="8"/>
        <item x="21"/>
        <item x="22"/>
        <item x="36"/>
        <item x="66"/>
        <item x="63"/>
        <item x="71"/>
        <item x="67"/>
        <item x="53"/>
        <item x="61"/>
        <item x="34"/>
        <item x="24"/>
        <item x="70"/>
        <item x="31"/>
        <item x="37"/>
        <item x="64"/>
        <item x="68"/>
        <item t="default"/>
      </items>
    </pivotField>
    <pivotField showAll="0"/>
    <pivotField showAll="0"/>
    <pivotField showAll="0"/>
    <pivotField showAll="0">
      <items count="277">
        <item x="204"/>
        <item x="89"/>
        <item x="17"/>
        <item x="181"/>
        <item x="132"/>
        <item x="110"/>
        <item x="19"/>
        <item x="34"/>
        <item x="26"/>
        <item x="32"/>
        <item x="35"/>
        <item x="114"/>
        <item x="8"/>
        <item x="232"/>
        <item x="252"/>
        <item x="255"/>
        <item x="235"/>
        <item x="140"/>
        <item x="147"/>
        <item x="23"/>
        <item x="131"/>
        <item x="209"/>
        <item x="272"/>
        <item x="219"/>
        <item x="220"/>
        <item x="54"/>
        <item x="269"/>
        <item x="218"/>
        <item x="210"/>
        <item x="213"/>
        <item x="236"/>
        <item x="217"/>
        <item x="108"/>
        <item x="36"/>
        <item x="135"/>
        <item x="231"/>
        <item x="214"/>
        <item x="211"/>
        <item x="175"/>
        <item x="243"/>
        <item x="234"/>
        <item x="78"/>
        <item x="257"/>
        <item x="259"/>
        <item x="21"/>
        <item x="224"/>
        <item x="233"/>
        <item x="253"/>
        <item x="248"/>
        <item x="116"/>
        <item x="239"/>
        <item x="267"/>
        <item x="249"/>
        <item x="227"/>
        <item x="212"/>
        <item x="244"/>
        <item x="128"/>
        <item x="93"/>
        <item x="199"/>
        <item x="85"/>
        <item x="164"/>
        <item x="15"/>
        <item x="99"/>
        <item x="195"/>
        <item x="136"/>
        <item x="123"/>
        <item x="163"/>
        <item x="20"/>
        <item x="134"/>
        <item x="56"/>
        <item x="113"/>
        <item x="216"/>
        <item x="133"/>
        <item x="66"/>
        <item x="256"/>
        <item x="150"/>
        <item x="250"/>
        <item x="260"/>
        <item x="7"/>
        <item x="274"/>
        <item x="241"/>
        <item x="264"/>
        <item x="273"/>
        <item x="9"/>
        <item x="208"/>
        <item x="30"/>
        <item x="49"/>
        <item x="111"/>
        <item x="221"/>
        <item x="117"/>
        <item x="258"/>
        <item x="14"/>
        <item x="184"/>
        <item x="29"/>
        <item x="130"/>
        <item x="162"/>
        <item x="88"/>
        <item x="180"/>
        <item x="39"/>
        <item x="10"/>
        <item x="268"/>
        <item x="271"/>
        <item x="176"/>
        <item x="6"/>
        <item x="200"/>
        <item x="90"/>
        <item x="70"/>
        <item x="33"/>
        <item x="118"/>
        <item x="0"/>
        <item x="187"/>
        <item x="129"/>
        <item x="38"/>
        <item x="25"/>
        <item x="126"/>
        <item x="170"/>
        <item x="40"/>
        <item x="104"/>
        <item x="55"/>
        <item x="80"/>
        <item x="119"/>
        <item x="178"/>
        <item x="198"/>
        <item x="143"/>
        <item x="115"/>
        <item x="82"/>
        <item x="100"/>
        <item x="265"/>
        <item x="37"/>
        <item x="168"/>
        <item x="83"/>
        <item x="183"/>
        <item x="102"/>
        <item x="144"/>
        <item x="59"/>
        <item x="51"/>
        <item x="125"/>
        <item x="152"/>
        <item x="46"/>
        <item x="254"/>
        <item x="71"/>
        <item x="47"/>
        <item x="97"/>
        <item x="196"/>
        <item x="191"/>
        <item x="106"/>
        <item x="101"/>
        <item x="109"/>
        <item x="141"/>
        <item x="3"/>
        <item x="81"/>
        <item x="222"/>
        <item x="228"/>
        <item x="203"/>
        <item x="155"/>
        <item x="122"/>
        <item x="270"/>
        <item x="151"/>
        <item x="157"/>
        <item x="127"/>
        <item x="188"/>
        <item x="12"/>
        <item x="76"/>
        <item x="124"/>
        <item x="189"/>
        <item x="193"/>
        <item x="153"/>
        <item x="75"/>
        <item x="172"/>
        <item x="246"/>
        <item x="95"/>
        <item x="185"/>
        <item x="206"/>
        <item x="2"/>
        <item x="73"/>
        <item x="43"/>
        <item x="156"/>
        <item x="138"/>
        <item x="4"/>
        <item x="182"/>
        <item x="16"/>
        <item x="226"/>
        <item x="22"/>
        <item x="166"/>
        <item x="28"/>
        <item x="186"/>
        <item x="238"/>
        <item x="230"/>
        <item x="107"/>
        <item x="60"/>
        <item x="247"/>
        <item x="262"/>
        <item x="237"/>
        <item x="223"/>
        <item x="149"/>
        <item x="65"/>
        <item x="171"/>
        <item x="174"/>
        <item x="159"/>
        <item x="58"/>
        <item x="42"/>
        <item x="139"/>
        <item x="165"/>
        <item x="112"/>
        <item x="245"/>
        <item x="197"/>
        <item x="86"/>
        <item x="98"/>
        <item x="240"/>
        <item x="229"/>
        <item x="242"/>
        <item x="215"/>
        <item x="192"/>
        <item x="160"/>
        <item x="179"/>
        <item x="94"/>
        <item x="44"/>
        <item x="142"/>
        <item x="74"/>
        <item x="61"/>
        <item x="103"/>
        <item x="77"/>
        <item x="84"/>
        <item x="64"/>
        <item x="146"/>
        <item x="11"/>
        <item x="148"/>
        <item x="1"/>
        <item x="190"/>
        <item x="201"/>
        <item x="57"/>
        <item x="31"/>
        <item x="251"/>
        <item x="91"/>
        <item x="266"/>
        <item x="173"/>
        <item x="207"/>
        <item x="261"/>
        <item x="263"/>
        <item x="275"/>
        <item x="69"/>
        <item x="205"/>
        <item x="161"/>
        <item x="96"/>
        <item x="105"/>
        <item x="167"/>
        <item x="67"/>
        <item x="62"/>
        <item x="145"/>
        <item x="53"/>
        <item x="87"/>
        <item x="137"/>
        <item x="177"/>
        <item x="158"/>
        <item x="52"/>
        <item x="13"/>
        <item x="92"/>
        <item x="120"/>
        <item x="225"/>
        <item x="68"/>
        <item x="18"/>
        <item x="48"/>
        <item x="24"/>
        <item x="72"/>
        <item x="202"/>
        <item x="194"/>
        <item x="154"/>
        <item x="79"/>
        <item x="169"/>
        <item x="5"/>
        <item x="63"/>
        <item x="27"/>
        <item x="50"/>
        <item x="41"/>
        <item x="121"/>
        <item x="45"/>
        <item t="default"/>
      </items>
    </pivotField>
    <pivotField showAll="0"/>
    <pivotField axis="axisRow" showAll="0">
      <items count="8">
        <item x="0"/>
        <item x="1"/>
        <item x="5"/>
        <item x="2"/>
        <item x="4"/>
        <item x="6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4">
    <field x="22"/>
    <field x="21"/>
    <field x="15"/>
    <field x="1"/>
  </rowFields>
  <rowItems count="188">
    <i>
      <x/>
    </i>
    <i r="1">
      <x/>
    </i>
    <i r="2">
      <x v="1"/>
    </i>
    <i r="3">
      <x v="124"/>
    </i>
    <i r="3">
      <x v="162"/>
    </i>
    <i r="3">
      <x v="196"/>
    </i>
    <i r="3">
      <x v="200"/>
    </i>
    <i r="3">
      <x v="201"/>
    </i>
    <i r="2">
      <x v="15"/>
    </i>
    <i r="3">
      <x v="168"/>
    </i>
    <i r="2">
      <x v="18"/>
    </i>
    <i r="3">
      <x v="210"/>
    </i>
    <i r="1">
      <x v="1"/>
    </i>
    <i r="2">
      <x v="11"/>
    </i>
    <i r="3">
      <x v="166"/>
    </i>
    <i r="2">
      <x v="13"/>
    </i>
    <i r="3">
      <x v="206"/>
    </i>
    <i r="2">
      <x v="20"/>
    </i>
    <i r="3">
      <x v="1"/>
    </i>
    <i r="3">
      <x v="3"/>
    </i>
    <i r="3">
      <x v="4"/>
    </i>
    <i r="3">
      <x v="6"/>
    </i>
    <i r="3">
      <x v="7"/>
    </i>
    <i r="3">
      <x v="8"/>
    </i>
    <i r="3">
      <x v="146"/>
    </i>
    <i r="3">
      <x v="158"/>
    </i>
    <i r="3">
      <x v="212"/>
    </i>
    <i r="2">
      <x v="36"/>
    </i>
    <i r="3">
      <x v="175"/>
    </i>
    <i r="2">
      <x v="37"/>
    </i>
    <i r="3">
      <x v="177"/>
    </i>
    <i r="2">
      <x v="40"/>
    </i>
    <i r="3">
      <x v="230"/>
    </i>
    <i r="2">
      <x v="43"/>
    </i>
    <i r="3">
      <x v="178"/>
    </i>
    <i r="2">
      <x v="47"/>
    </i>
    <i r="3">
      <x v="179"/>
    </i>
    <i r="2">
      <x v="51"/>
    </i>
    <i r="3">
      <x v="183"/>
    </i>
    <i r="2">
      <x v="56"/>
    </i>
    <i r="3">
      <x v="241"/>
    </i>
    <i r="1">
      <x v="4"/>
    </i>
    <i r="2">
      <x v="12"/>
    </i>
    <i r="3">
      <x v="167"/>
    </i>
    <i r="2">
      <x v="35"/>
    </i>
    <i r="3">
      <x v="174"/>
    </i>
    <i r="2">
      <x v="41"/>
    </i>
    <i r="3">
      <x v="160"/>
    </i>
    <i r="3">
      <x v="217"/>
    </i>
    <i r="3">
      <x v="248"/>
    </i>
    <i r="3">
      <x v="252"/>
    </i>
    <i r="2">
      <x v="58"/>
    </i>
    <i r="3">
      <x v="189"/>
    </i>
    <i r="2">
      <x v="64"/>
    </i>
    <i r="3">
      <x v="249"/>
    </i>
    <i r="2">
      <x v="67"/>
    </i>
    <i r="3">
      <x v="193"/>
    </i>
    <i r="2">
      <x v="69"/>
    </i>
    <i r="3">
      <x v="250"/>
    </i>
    <i>
      <x v="1"/>
    </i>
    <i r="1">
      <x v="2"/>
    </i>
    <i r="2">
      <x v="2"/>
    </i>
    <i r="3">
      <x v="163"/>
    </i>
    <i r="2">
      <x v="3"/>
    </i>
    <i r="3">
      <x v="202"/>
    </i>
    <i r="2">
      <x v="4"/>
    </i>
    <i r="3">
      <x v="164"/>
    </i>
    <i r="2">
      <x v="9"/>
    </i>
    <i r="3">
      <x v="165"/>
    </i>
    <i r="2">
      <x v="22"/>
    </i>
    <i r="3">
      <x v="170"/>
    </i>
    <i r="2">
      <x v="25"/>
    </i>
    <i r="3">
      <x v="10"/>
    </i>
    <i r="3">
      <x v="123"/>
    </i>
    <i r="3">
      <x v="159"/>
    </i>
    <i r="3">
      <x v="185"/>
    </i>
    <i r="3">
      <x v="197"/>
    </i>
    <i r="3">
      <x v="198"/>
    </i>
    <i r="3">
      <x v="205"/>
    </i>
    <i r="3">
      <x v="215"/>
    </i>
    <i r="3">
      <x v="216"/>
    </i>
    <i r="3">
      <x v="218"/>
    </i>
    <i r="3">
      <x v="219"/>
    </i>
    <i r="3">
      <x v="220"/>
    </i>
    <i r="3">
      <x v="221"/>
    </i>
    <i r="3">
      <x v="222"/>
    </i>
    <i r="3">
      <x v="240"/>
    </i>
    <i r="3">
      <x v="253"/>
    </i>
    <i r="2">
      <x v="26"/>
    </i>
    <i r="3">
      <x v="223"/>
    </i>
    <i r="2">
      <x v="34"/>
    </i>
    <i r="3">
      <x v="173"/>
    </i>
    <i r="2">
      <x v="44"/>
    </i>
    <i r="3">
      <x v="233"/>
    </i>
    <i r="3">
      <x v="234"/>
    </i>
    <i r="2">
      <x v="45"/>
    </i>
    <i r="3">
      <x v="235"/>
    </i>
    <i r="2">
      <x v="55"/>
    </i>
    <i r="3">
      <x v="186"/>
    </i>
    <i r="2">
      <x v="63"/>
    </i>
    <i r="3">
      <x v="191"/>
    </i>
    <i r="2">
      <x v="65"/>
    </i>
    <i r="3">
      <x v="154"/>
    </i>
    <i r="3">
      <x v="192"/>
    </i>
    <i r="3">
      <x v="194"/>
    </i>
    <i r="3">
      <x v="247"/>
    </i>
    <i r="2">
      <x v="68"/>
    </i>
    <i r="3">
      <x v="195"/>
    </i>
    <i r="2">
      <x v="72"/>
    </i>
    <i r="3">
      <x v="15"/>
    </i>
    <i r="3">
      <x v="199"/>
    </i>
    <i r="1">
      <x v="5"/>
    </i>
    <i r="2">
      <x/>
    </i>
    <i r="3">
      <x v="161"/>
    </i>
    <i r="2">
      <x v="16"/>
    </i>
    <i r="3">
      <x v="169"/>
    </i>
    <i r="2">
      <x v="19"/>
    </i>
    <i r="3">
      <x v="211"/>
    </i>
    <i r="2">
      <x v="23"/>
    </i>
    <i r="3">
      <x v="231"/>
    </i>
    <i r="2">
      <x v="42"/>
    </i>
    <i r="3">
      <x v="232"/>
    </i>
    <i r="2">
      <x v="49"/>
    </i>
    <i r="3">
      <x v="181"/>
    </i>
    <i r="3">
      <x v="237"/>
    </i>
    <i r="3">
      <x v="238"/>
    </i>
    <i r="3">
      <x v="239"/>
    </i>
    <i r="2">
      <x v="50"/>
    </i>
    <i r="3">
      <x v="182"/>
    </i>
    <i r="2">
      <x v="52"/>
    </i>
    <i r="3">
      <x v="184"/>
    </i>
    <i>
      <x v="2"/>
    </i>
    <i r="1">
      <x v="3"/>
    </i>
    <i r="2">
      <x v="24"/>
    </i>
    <i r="3">
      <x v="171"/>
    </i>
    <i r="2">
      <x v="29"/>
    </i>
    <i r="3">
      <x v="142"/>
    </i>
    <i r="3">
      <x v="225"/>
    </i>
    <i r="3">
      <x v="226"/>
    </i>
    <i r="2">
      <x v="48"/>
    </i>
    <i r="3">
      <x v="180"/>
    </i>
    <i r="2">
      <x v="53"/>
    </i>
    <i r="3">
      <x v="187"/>
    </i>
    <i r="1">
      <x v="6"/>
    </i>
    <i r="2">
      <x v="5"/>
    </i>
    <i r="3">
      <x v="203"/>
    </i>
    <i r="2">
      <x v="7"/>
    </i>
    <i r="3">
      <x v="204"/>
    </i>
    <i r="2">
      <x v="14"/>
    </i>
    <i r="3">
      <x v="207"/>
    </i>
    <i r="2">
      <x v="17"/>
    </i>
    <i r="3">
      <x v="208"/>
    </i>
    <i r="3">
      <x v="209"/>
    </i>
    <i r="2">
      <x v="21"/>
    </i>
    <i r="3">
      <x v="5"/>
    </i>
    <i r="3">
      <x v="213"/>
    </i>
    <i r="3">
      <x v="214"/>
    </i>
    <i r="2">
      <x v="27"/>
    </i>
    <i r="3">
      <x v="172"/>
    </i>
    <i r="2">
      <x v="28"/>
    </i>
    <i r="3">
      <x v="224"/>
    </i>
    <i r="2">
      <x v="33"/>
    </i>
    <i r="3">
      <x v="176"/>
    </i>
    <i r="3">
      <x v="227"/>
    </i>
    <i r="2">
      <x v="38"/>
    </i>
    <i r="3">
      <x v="228"/>
    </i>
    <i r="2">
      <x v="39"/>
    </i>
    <i r="3">
      <x v="229"/>
    </i>
    <i r="2">
      <x v="46"/>
    </i>
    <i r="3">
      <x v="236"/>
    </i>
    <i r="2">
      <x v="54"/>
    </i>
    <i r="3">
      <x v="188"/>
    </i>
    <i r="2">
      <x v="57"/>
    </i>
    <i r="3">
      <x v="147"/>
    </i>
    <i r="3">
      <x v="148"/>
    </i>
    <i r="3">
      <x v="150"/>
    </i>
    <i r="3">
      <x v="242"/>
    </i>
    <i r="3">
      <x v="243"/>
    </i>
    <i r="3">
      <x v="244"/>
    </i>
    <i r="3">
      <x v="245"/>
    </i>
    <i r="3">
      <x v="246"/>
    </i>
    <i r="2">
      <x v="59"/>
    </i>
    <i r="3">
      <x v="102"/>
    </i>
    <i r="2">
      <x v="62"/>
    </i>
    <i r="3">
      <x v="190"/>
    </i>
    <i r="2">
      <x v="70"/>
    </i>
    <i r="3">
      <x v="251"/>
    </i>
    <i t="grand">
      <x/>
    </i>
  </rowItems>
  <colFields count="1">
    <field x="6"/>
  </colFields>
  <colItems count="2">
    <i>
      <x v="1"/>
    </i>
    <i t="grand">
      <x/>
    </i>
  </colItems>
  <dataFields count="1">
    <dataField name="Počet z Identifikační číslo organizace" fld="0" subtotal="count" baseField="2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90990-038E-47A9-AC3F-C2B8E5896D1C}" name="Kontingenční tabulka1" cacheId="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B6:D18" firstHeaderRow="1" firstDataRow="2" firstDataCol="1"/>
  <pivotFields count="23">
    <pivotField dataField="1" showAll="0"/>
    <pivotField showAll="0"/>
    <pivotField showAll="0"/>
    <pivotField showAll="0"/>
    <pivotField showAll="0"/>
    <pivotField multipleItemSelectionAllowed="1" showAll="0">
      <items count="3">
        <item x="1"/>
        <item h="1" x="0"/>
        <item t="default"/>
      </items>
    </pivotField>
    <pivotField axis="axisCol"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5"/>
        <item x="2"/>
        <item x="4"/>
        <item x="6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2">
    <field x="22"/>
    <field x="21"/>
  </rowFields>
  <rowItems count="11">
    <i>
      <x/>
    </i>
    <i r="1">
      <x/>
    </i>
    <i r="1">
      <x v="1"/>
    </i>
    <i r="1">
      <x v="4"/>
    </i>
    <i>
      <x v="1"/>
    </i>
    <i r="1">
      <x v="2"/>
    </i>
    <i r="1">
      <x v="5"/>
    </i>
    <i>
      <x v="2"/>
    </i>
    <i r="1">
      <x v="3"/>
    </i>
    <i r="1">
      <x v="6"/>
    </i>
    <i t="grand">
      <x/>
    </i>
  </rowItems>
  <colFields count="1">
    <field x="6"/>
  </colFields>
  <colItems count="2">
    <i>
      <x v="1"/>
    </i>
    <i t="grand">
      <x/>
    </i>
  </colItems>
  <dataFields count="1">
    <dataField name="Počet z Identifikační číslo organizace" fld="0" subtotal="count" baseField="2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EA633-A875-4365-9297-1E978BF26A24}" name="Tabulka1" displayName="Tabulka1" ref="A1:D22" totalsRowShown="0">
  <autoFilter ref="A1:D22" xr:uid="{54FEA633-A875-4365-9297-1E978BF26A24}"/>
  <sortState xmlns:xlrd2="http://schemas.microsoft.com/office/spreadsheetml/2017/richdata2" ref="A2:D17">
    <sortCondition ref="A1:A17"/>
  </sortState>
  <tableColumns count="4">
    <tableColumn id="1" xr3:uid="{EF61C59A-6607-457B-961B-DD5B690D5B15}" name="Kapitola"/>
    <tableColumn id="2" xr3:uid="{1232C40A-0E5C-449C-A2AE-22DB9D573E23}" name="Název kapitoly"/>
    <tableColumn id="3" xr3:uid="{98106E5C-AE54-4C81-BA59-99A1A873CA86}" name="Tvrzení" dataDxfId="1"/>
    <tableColumn id="4" xr3:uid="{AD42D388-1401-43F2-BD28-595A953EB5BC}" name="Reak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Z%C5%A0+a+M%C5%A0+p%C5%99i+zdravotnick%C3%BDch+za%C5%99%C3%ADzen%C3%ADch+KV&amp;rlz=1C1GCEU_csCZ1103CZ1105&amp;oq=Z%C5%A0+a+M%C5%A0+p%C5%99i+zdravotnick%C3%BDch+za%C5%99%C3%ADzen%C3%ADch+KV&amp;gs_lcrp=EgZjaHJvbWUyBggAEEUYOdIBBzUyNmowajeoAgCwAgA&amp;sourceid=chrome&amp;source=chrome.ob&amp;ie=UTF-8" TargetMode="External"/><Relationship Id="rId3" Type="http://schemas.openxmlformats.org/officeDocument/2006/relationships/hyperlink" Target="https://www.datazapad.cz/pages/rim-mapa-skol-karlovarskeho-kraje" TargetMode="External"/><Relationship Id="rId7" Type="http://schemas.openxmlformats.org/officeDocument/2006/relationships/hyperlink" Target="https://www.google.com/maps/place/data=!4m2!3m1!1s0x47a0996afa517143:0x29060505df6bba6?sa=X&amp;ved=1t:8290&amp;ictx=111" TargetMode="External"/><Relationship Id="rId2" Type="http://schemas.openxmlformats.org/officeDocument/2006/relationships/hyperlink" Target="http://www.zspostrov.cz/" TargetMode="External"/><Relationship Id="rId1" Type="http://schemas.openxmlformats.org/officeDocument/2006/relationships/hyperlink" Target="mailto:zps.ostrov@email.cz" TargetMode="External"/><Relationship Id="rId6" Type="http://schemas.openxmlformats.org/officeDocument/2006/relationships/hyperlink" Target="https://www.google.com/search?q=Z%C5%A0+M%C5%A0+a+praktick%C3%A1+%C5%A1kola+Karlovy+Vary&amp;rlz=1C1GCEU_csCZ1103CZ1105&amp;oq=Z%C5%A0+M%C5%A0+a+praktick%C3%A1+%C5%A1kola+Karlovy+Vary&amp;gs_lcrp=EgZjaHJvbWUyCQgAEEUYORifBdIBBzMxNWowajeoAgCwAgA&amp;sourceid=chrome&amp;source=chrome.ob&amp;ie=UTF-8" TargetMode="External"/><Relationship Id="rId5" Type="http://schemas.openxmlformats.org/officeDocument/2006/relationships/hyperlink" Target="https://www.google.com/maps/place/data=!4m2!3m1!1s0x47a0996934141dcf:0x8b10e7e1d529e6b5?sa=X&amp;ved=1t:8290&amp;ictx=111" TargetMode="External"/><Relationship Id="rId4" Type="http://schemas.openxmlformats.org/officeDocument/2006/relationships/hyperlink" Target="https://www.datazapad.cz/pages/rim-mapa-skol-karlovarskeho-kraj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atazapad.cz/pages/rim-mapa-skol-karlovarskeho-kraje" TargetMode="External"/><Relationship Id="rId1" Type="http://schemas.openxmlformats.org/officeDocument/2006/relationships/hyperlink" Target="mailto:veducitel@vubuskovice.cz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vdb.czso.cz/vdbvo2/faces/cs/index.jsf?page=uziv-dot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95A-BC82-45C6-A36C-7E41CEA1C945}">
  <dimension ref="A1:D22"/>
  <sheetViews>
    <sheetView tabSelected="1" topLeftCell="A14" workbookViewId="0">
      <selection activeCell="D23" sqref="D23"/>
    </sheetView>
  </sheetViews>
  <sheetFormatPr defaultRowHeight="15"/>
  <cols>
    <col min="1" max="1" width="10.85546875" bestFit="1" customWidth="1"/>
    <col min="2" max="2" width="23.5703125" bestFit="1" customWidth="1"/>
    <col min="3" max="3" width="62.140625" customWidth="1"/>
    <col min="4" max="4" width="6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s="1" t="s">
        <v>4</v>
      </c>
      <c r="C2" s="1" t="s">
        <v>5</v>
      </c>
      <c r="D2" s="1" t="s">
        <v>6</v>
      </c>
    </row>
    <row r="3" spans="1:4" ht="30">
      <c r="A3">
        <v>0</v>
      </c>
      <c r="B3" s="1" t="s">
        <v>4</v>
      </c>
      <c r="C3" s="1" t="s">
        <v>7</v>
      </c>
      <c r="D3" s="1" t="s">
        <v>8</v>
      </c>
    </row>
    <row r="4" spans="1:4" ht="30">
      <c r="A4">
        <v>0</v>
      </c>
      <c r="B4" s="1" t="s">
        <v>4</v>
      </c>
      <c r="C4" s="1" t="s">
        <v>9</v>
      </c>
      <c r="D4" s="1" t="s">
        <v>10</v>
      </c>
    </row>
    <row r="5" spans="1:4" ht="30">
      <c r="A5">
        <v>0</v>
      </c>
      <c r="B5" s="1" t="s">
        <v>4</v>
      </c>
      <c r="C5" s="1" t="s">
        <v>11</v>
      </c>
      <c r="D5" s="1" t="s">
        <v>12</v>
      </c>
    </row>
    <row r="6" spans="1:4" ht="75">
      <c r="A6">
        <v>0</v>
      </c>
      <c r="B6" s="1" t="s">
        <v>4</v>
      </c>
      <c r="C6" s="1" t="s">
        <v>13</v>
      </c>
      <c r="D6" s="1" t="s">
        <v>14</v>
      </c>
    </row>
    <row r="7" spans="1:4" ht="60">
      <c r="A7">
        <v>0</v>
      </c>
      <c r="B7" s="1" t="s">
        <v>4</v>
      </c>
      <c r="C7" s="1" t="s">
        <v>15</v>
      </c>
      <c r="D7" s="1" t="s">
        <v>16</v>
      </c>
    </row>
    <row r="8" spans="1:4">
      <c r="A8">
        <v>1</v>
      </c>
      <c r="B8" s="1" t="s">
        <v>17</v>
      </c>
      <c r="C8" s="1" t="s">
        <v>18</v>
      </c>
      <c r="D8" s="1" t="s">
        <v>19</v>
      </c>
    </row>
    <row r="9" spans="1:4" ht="45">
      <c r="A9">
        <v>1</v>
      </c>
      <c r="B9" s="1" t="s">
        <v>17</v>
      </c>
      <c r="C9" s="1" t="s">
        <v>20</v>
      </c>
      <c r="D9" s="1" t="s">
        <v>21</v>
      </c>
    </row>
    <row r="10" spans="1:4">
      <c r="A10">
        <v>9</v>
      </c>
      <c r="B10" t="s">
        <v>22</v>
      </c>
      <c r="C10" s="1" t="s">
        <v>23</v>
      </c>
      <c r="D10" s="1" t="s">
        <v>24</v>
      </c>
    </row>
    <row r="11" spans="1:4" ht="30">
      <c r="A11">
        <v>9</v>
      </c>
      <c r="B11" t="s">
        <v>22</v>
      </c>
      <c r="C11" s="1" t="s">
        <v>25</v>
      </c>
      <c r="D11" s="1"/>
    </row>
    <row r="12" spans="1:4" ht="45">
      <c r="A12">
        <v>9</v>
      </c>
      <c r="B12" t="s">
        <v>22</v>
      </c>
      <c r="C12" s="1" t="s">
        <v>26</v>
      </c>
      <c r="D12" s="1"/>
    </row>
    <row r="13" spans="1:4" ht="60">
      <c r="A13">
        <v>9</v>
      </c>
      <c r="B13" t="s">
        <v>22</v>
      </c>
      <c r="C13" s="1" t="s">
        <v>27</v>
      </c>
      <c r="D13" s="1"/>
    </row>
    <row r="14" spans="1:4" ht="30">
      <c r="A14">
        <v>9</v>
      </c>
      <c r="B14" t="s">
        <v>22</v>
      </c>
      <c r="C14" s="1" t="s">
        <v>28</v>
      </c>
      <c r="D14" s="1"/>
    </row>
    <row r="15" spans="1:4" ht="45">
      <c r="A15">
        <v>9</v>
      </c>
      <c r="B15" t="s">
        <v>22</v>
      </c>
      <c r="C15" s="1" t="s">
        <v>29</v>
      </c>
      <c r="D15" s="1"/>
    </row>
    <row r="16" spans="1:4">
      <c r="A16">
        <v>9</v>
      </c>
      <c r="B16" t="s">
        <v>22</v>
      </c>
      <c r="C16" s="1" t="s">
        <v>30</v>
      </c>
      <c r="D16" s="1"/>
    </row>
    <row r="17" spans="1:4" ht="45">
      <c r="B17" t="s">
        <v>31</v>
      </c>
      <c r="C17" s="1" t="s">
        <v>32</v>
      </c>
      <c r="D17" s="1"/>
    </row>
    <row r="18" spans="1:4" ht="105">
      <c r="A18">
        <v>1</v>
      </c>
      <c r="B18" s="1" t="s">
        <v>17</v>
      </c>
      <c r="C18" s="1" t="s">
        <v>33</v>
      </c>
      <c r="D18" s="1" t="s">
        <v>34</v>
      </c>
    </row>
    <row r="19" spans="1:4" ht="75">
      <c r="A19">
        <v>2</v>
      </c>
      <c r="B19" t="s">
        <v>35</v>
      </c>
      <c r="C19" s="1" t="s">
        <v>36</v>
      </c>
      <c r="D19" s="1" t="s">
        <v>37</v>
      </c>
    </row>
    <row r="20" spans="1:4" ht="45">
      <c r="A20">
        <v>2</v>
      </c>
      <c r="B20" t="s">
        <v>35</v>
      </c>
      <c r="C20" s="1" t="s">
        <v>38</v>
      </c>
      <c r="D20" s="1" t="s">
        <v>39</v>
      </c>
    </row>
    <row r="21" spans="1:4">
      <c r="A21">
        <v>3</v>
      </c>
      <c r="B21" t="s">
        <v>40</v>
      </c>
      <c r="C21" s="1" t="s">
        <v>41</v>
      </c>
      <c r="D21" s="1" t="s">
        <v>8</v>
      </c>
    </row>
    <row r="22" spans="1:4" ht="30">
      <c r="A22">
        <v>3</v>
      </c>
      <c r="B22" t="s">
        <v>40</v>
      </c>
      <c r="C22" s="1" t="s">
        <v>42</v>
      </c>
      <c r="D22" s="1" t="s">
        <v>43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A44E-5948-4D90-8625-A28CDB185E03}">
  <dimension ref="A1:X108"/>
  <sheetViews>
    <sheetView topLeftCell="A26" workbookViewId="0">
      <selection activeCell="E4" sqref="E4"/>
    </sheetView>
  </sheetViews>
  <sheetFormatPr defaultRowHeight="15"/>
  <cols>
    <col min="1" max="1" width="14.140625" customWidth="1"/>
    <col min="3" max="3" width="10" customWidth="1"/>
    <col min="9" max="9" width="9.5703125" bestFit="1" customWidth="1"/>
  </cols>
  <sheetData>
    <row r="1" spans="1:13" ht="30">
      <c r="A1" t="s">
        <v>0</v>
      </c>
      <c r="B1" s="11" t="s">
        <v>44</v>
      </c>
    </row>
    <row r="2" spans="1:13">
      <c r="D2" t="s">
        <v>45</v>
      </c>
      <c r="H2" s="12" t="s">
        <v>46</v>
      </c>
    </row>
    <row r="3" spans="1:13">
      <c r="E3" t="s">
        <v>2075</v>
      </c>
    </row>
    <row r="5" spans="1:13">
      <c r="A5" t="s">
        <v>47</v>
      </c>
      <c r="B5" t="s">
        <v>48</v>
      </c>
    </row>
    <row r="6" spans="1:13">
      <c r="B6" t="s">
        <v>49</v>
      </c>
    </row>
    <row r="7" spans="1:13">
      <c r="B7" t="s">
        <v>50</v>
      </c>
    </row>
    <row r="9" spans="1:13" ht="21">
      <c r="A9" s="41" t="s">
        <v>51</v>
      </c>
    </row>
    <row r="10" spans="1:13" ht="15.75" thickBot="1">
      <c r="A10" t="s">
        <v>52</v>
      </c>
      <c r="H10" t="s">
        <v>53</v>
      </c>
    </row>
    <row r="11" spans="1:13" ht="150.75" thickBot="1">
      <c r="D11" s="42" t="s">
        <v>54</v>
      </c>
      <c r="F11" s="42" t="s">
        <v>55</v>
      </c>
      <c r="H11" s="43" t="s">
        <v>56</v>
      </c>
      <c r="J11" s="43" t="s">
        <v>57</v>
      </c>
    </row>
    <row r="12" spans="1:13">
      <c r="J12" t="s">
        <v>1909</v>
      </c>
    </row>
    <row r="13" spans="1:13">
      <c r="J13" t="s">
        <v>1910</v>
      </c>
    </row>
    <row r="14" spans="1:13" ht="26.25" customHeight="1" thickBot="1">
      <c r="A14" s="14">
        <v>1</v>
      </c>
      <c r="B14" s="14" t="s">
        <v>58</v>
      </c>
      <c r="J14" t="s">
        <v>53</v>
      </c>
    </row>
    <row r="15" spans="1:13" ht="26.25" customHeight="1">
      <c r="B15" s="37"/>
      <c r="C15" s="34" t="s">
        <v>59</v>
      </c>
      <c r="D15" s="32" t="s">
        <v>60</v>
      </c>
      <c r="E15" s="32" t="s">
        <v>61</v>
      </c>
      <c r="F15" s="32" t="s">
        <v>62</v>
      </c>
      <c r="G15" s="32" t="s">
        <v>63</v>
      </c>
      <c r="H15" s="32" t="s">
        <v>64</v>
      </c>
      <c r="I15" s="32" t="s">
        <v>63</v>
      </c>
      <c r="J15" s="33" t="s">
        <v>1908</v>
      </c>
      <c r="M15" t="s">
        <v>65</v>
      </c>
    </row>
    <row r="16" spans="1:13" ht="26.25" customHeight="1">
      <c r="B16" s="38" t="s">
        <v>66</v>
      </c>
      <c r="C16" s="35">
        <v>5</v>
      </c>
      <c r="D16" s="25">
        <v>2</v>
      </c>
      <c r="E16" s="25"/>
      <c r="F16" s="25">
        <v>4</v>
      </c>
      <c r="G16" s="25">
        <f>+F16/C16*100</f>
        <v>80</v>
      </c>
      <c r="H16" s="25">
        <f>+C16-F16</f>
        <v>1</v>
      </c>
      <c r="I16" s="26">
        <f>+H16/C16*100</f>
        <v>20</v>
      </c>
      <c r="J16" s="27">
        <v>7</v>
      </c>
    </row>
    <row r="17" spans="1:24" ht="26.25" customHeight="1">
      <c r="B17" s="38" t="s">
        <v>67</v>
      </c>
      <c r="C17" s="35">
        <v>21</v>
      </c>
      <c r="D17" s="25">
        <v>5</v>
      </c>
      <c r="E17" s="25"/>
      <c r="F17" s="25">
        <v>10</v>
      </c>
      <c r="G17" s="26">
        <f t="shared" ref="G17:G23" si="0">+F17/C17*100</f>
        <v>47.619047619047613</v>
      </c>
      <c r="H17" s="27">
        <f t="shared" ref="H17:H22" si="1">+C17-F17</f>
        <v>11</v>
      </c>
      <c r="I17" s="40">
        <f t="shared" ref="I17:I22" si="2">+H17/C17*100</f>
        <v>52.380952380952387</v>
      </c>
      <c r="J17" s="28">
        <v>18</v>
      </c>
    </row>
    <row r="18" spans="1:24" ht="26.25" customHeight="1">
      <c r="B18" s="38" t="s">
        <v>68</v>
      </c>
      <c r="C18" s="35">
        <v>40</v>
      </c>
      <c r="D18" s="25">
        <v>9</v>
      </c>
      <c r="E18" s="25"/>
      <c r="F18" s="25">
        <v>18</v>
      </c>
      <c r="G18" s="26">
        <f t="shared" si="0"/>
        <v>45</v>
      </c>
      <c r="H18" s="27">
        <f t="shared" si="1"/>
        <v>22</v>
      </c>
      <c r="I18" s="27">
        <f t="shared" si="2"/>
        <v>55.000000000000007</v>
      </c>
      <c r="J18" s="27">
        <v>35</v>
      </c>
    </row>
    <row r="19" spans="1:24" ht="26.25" customHeight="1">
      <c r="B19" s="38" t="s">
        <v>69</v>
      </c>
      <c r="C19" s="35">
        <v>8</v>
      </c>
      <c r="D19" s="25">
        <v>4</v>
      </c>
      <c r="E19" s="25"/>
      <c r="F19" s="25">
        <v>4</v>
      </c>
      <c r="G19" s="26">
        <f t="shared" si="0"/>
        <v>50</v>
      </c>
      <c r="H19" s="25">
        <f t="shared" si="1"/>
        <v>4</v>
      </c>
      <c r="I19" s="26">
        <f t="shared" si="2"/>
        <v>50</v>
      </c>
      <c r="J19" s="28">
        <v>6</v>
      </c>
    </row>
    <row r="20" spans="1:24" ht="26.25" customHeight="1">
      <c r="B20" s="38" t="s">
        <v>70</v>
      </c>
      <c r="C20" s="35">
        <v>14</v>
      </c>
      <c r="D20" s="25">
        <v>3</v>
      </c>
      <c r="E20" s="25"/>
      <c r="F20" s="25">
        <v>8</v>
      </c>
      <c r="G20" s="26">
        <f t="shared" si="0"/>
        <v>57.142857142857139</v>
      </c>
      <c r="H20" s="25">
        <f t="shared" si="1"/>
        <v>6</v>
      </c>
      <c r="I20" s="26">
        <f t="shared" si="2"/>
        <v>42.857142857142854</v>
      </c>
      <c r="J20" s="27">
        <v>10</v>
      </c>
    </row>
    <row r="21" spans="1:24">
      <c r="B21" s="38" t="s">
        <v>71</v>
      </c>
      <c r="C21" s="35">
        <v>15</v>
      </c>
      <c r="D21" s="25">
        <v>6</v>
      </c>
      <c r="E21" s="25"/>
      <c r="F21" s="25">
        <v>10</v>
      </c>
      <c r="G21" s="26">
        <f t="shared" si="0"/>
        <v>66.666666666666657</v>
      </c>
      <c r="H21" s="27">
        <f t="shared" si="1"/>
        <v>5</v>
      </c>
      <c r="I21" s="40">
        <f t="shared" si="2"/>
        <v>33.333333333333329</v>
      </c>
      <c r="J21" s="28">
        <v>11</v>
      </c>
    </row>
    <row r="22" spans="1:24">
      <c r="B22" s="38" t="s">
        <v>72</v>
      </c>
      <c r="C22" s="35">
        <v>30</v>
      </c>
      <c r="D22" s="25">
        <v>9</v>
      </c>
      <c r="E22" s="25"/>
      <c r="F22" s="25">
        <v>19</v>
      </c>
      <c r="G22" s="26">
        <f t="shared" si="0"/>
        <v>63.333333333333329</v>
      </c>
      <c r="H22" s="27">
        <f t="shared" si="1"/>
        <v>11</v>
      </c>
      <c r="I22" s="40">
        <f t="shared" si="2"/>
        <v>36.666666666666664</v>
      </c>
      <c r="J22" s="28">
        <v>27</v>
      </c>
    </row>
    <row r="23" spans="1:24" ht="15.75" thickBot="1">
      <c r="B23" s="39" t="s">
        <v>73</v>
      </c>
      <c r="C23" s="36">
        <v>133</v>
      </c>
      <c r="D23" s="29">
        <v>38</v>
      </c>
      <c r="E23" s="29"/>
      <c r="F23" s="29">
        <f>+SUM(F16:F22)</f>
        <v>73</v>
      </c>
      <c r="G23" s="30">
        <f t="shared" si="0"/>
        <v>54.887218045112782</v>
      </c>
      <c r="H23" s="27">
        <f>+C23-F23</f>
        <v>60</v>
      </c>
      <c r="I23" s="40">
        <f>+H23/C23*100</f>
        <v>45.112781954887218</v>
      </c>
      <c r="J23" s="31">
        <v>114</v>
      </c>
    </row>
    <row r="24" spans="1:24">
      <c r="B24" t="s">
        <v>74</v>
      </c>
      <c r="J24" s="13" t="s">
        <v>75</v>
      </c>
    </row>
    <row r="25" spans="1:24" ht="23.25">
      <c r="J25" s="13"/>
      <c r="X25" s="7"/>
    </row>
    <row r="26" spans="1:24">
      <c r="J26" s="13"/>
      <c r="X26" s="8"/>
    </row>
    <row r="27" spans="1:24">
      <c r="A27" s="12" t="s">
        <v>76</v>
      </c>
      <c r="C27" s="12" t="s">
        <v>77</v>
      </c>
      <c r="J27" s="13"/>
      <c r="X27" s="9"/>
    </row>
    <row r="28" spans="1:24">
      <c r="B28" t="s">
        <v>78</v>
      </c>
      <c r="J28" s="13"/>
      <c r="X28" s="9"/>
    </row>
    <row r="29" spans="1:24">
      <c r="J29" s="13"/>
      <c r="X29" s="9"/>
    </row>
    <row r="30" spans="1:24">
      <c r="J30" s="13"/>
      <c r="X30" s="9"/>
    </row>
    <row r="31" spans="1:24">
      <c r="A31" s="14">
        <v>2</v>
      </c>
      <c r="B31" s="14" t="s">
        <v>79</v>
      </c>
      <c r="C31" s="14"/>
      <c r="E31" s="12" t="s">
        <v>80</v>
      </c>
      <c r="F31" s="12"/>
      <c r="G31" s="12"/>
      <c r="H31" t="s">
        <v>81</v>
      </c>
      <c r="J31" s="13"/>
      <c r="X31" s="9"/>
    </row>
    <row r="32" spans="1:24">
      <c r="B32" t="s">
        <v>48</v>
      </c>
      <c r="J32" s="13"/>
      <c r="X32" s="9"/>
    </row>
    <row r="33" spans="1:24">
      <c r="A33" t="s">
        <v>82</v>
      </c>
      <c r="J33" s="13"/>
      <c r="X33" s="9"/>
    </row>
    <row r="34" spans="1:24">
      <c r="B34" t="s">
        <v>83</v>
      </c>
      <c r="J34" s="13"/>
      <c r="X34" s="9"/>
    </row>
    <row r="35" spans="1:24">
      <c r="B35" t="s">
        <v>84</v>
      </c>
      <c r="J35" s="13"/>
      <c r="X35" s="10"/>
    </row>
    <row r="36" spans="1:24">
      <c r="C36" t="s">
        <v>85</v>
      </c>
      <c r="J36" s="13"/>
      <c r="X36" s="9"/>
    </row>
    <row r="37" spans="1:24">
      <c r="C37" t="s">
        <v>2073</v>
      </c>
      <c r="J37" s="13"/>
      <c r="X37" s="9"/>
    </row>
    <row r="38" spans="1:24">
      <c r="J38" s="13"/>
      <c r="X38" s="9"/>
    </row>
    <row r="39" spans="1:24">
      <c r="J39" s="13"/>
      <c r="X39" s="9"/>
    </row>
    <row r="40" spans="1:24">
      <c r="A40" s="14">
        <v>3</v>
      </c>
      <c r="B40" s="14" t="s">
        <v>86</v>
      </c>
      <c r="C40" s="14"/>
      <c r="J40" s="13"/>
      <c r="X40" s="9"/>
    </row>
    <row r="41" spans="1:24">
      <c r="B41" t="s">
        <v>87</v>
      </c>
      <c r="J41" s="13"/>
      <c r="X41" s="9"/>
    </row>
    <row r="42" spans="1:24">
      <c r="B42" t="s">
        <v>88</v>
      </c>
      <c r="D42" t="s">
        <v>89</v>
      </c>
      <c r="J42" s="13"/>
      <c r="X42" s="9"/>
    </row>
    <row r="43" spans="1:24">
      <c r="B43" t="s">
        <v>66</v>
      </c>
      <c r="D43" s="12" t="s">
        <v>90</v>
      </c>
      <c r="E43" s="12"/>
      <c r="F43" t="s">
        <v>91</v>
      </c>
      <c r="J43" s="13"/>
      <c r="X43" s="9"/>
    </row>
    <row r="44" spans="1:24">
      <c r="J44" s="13"/>
      <c r="X44" s="9"/>
    </row>
    <row r="45" spans="1:24">
      <c r="J45" s="13"/>
      <c r="X45" s="9"/>
    </row>
    <row r="46" spans="1:24">
      <c r="A46" s="14">
        <v>4</v>
      </c>
      <c r="B46" s="14" t="s">
        <v>92</v>
      </c>
      <c r="J46" s="13"/>
      <c r="X46" s="9"/>
    </row>
    <row r="47" spans="1:24">
      <c r="A47" s="12" t="s">
        <v>93</v>
      </c>
      <c r="B47" s="12"/>
      <c r="C47" s="12"/>
      <c r="D47" s="12"/>
      <c r="H47" s="17" t="s">
        <v>94</v>
      </c>
      <c r="I47" s="17"/>
      <c r="J47" s="17" t="s">
        <v>95</v>
      </c>
      <c r="X47" s="9"/>
    </row>
    <row r="48" spans="1:24">
      <c r="A48" t="s">
        <v>96</v>
      </c>
      <c r="H48" s="21" t="s">
        <v>97</v>
      </c>
      <c r="I48" s="22"/>
      <c r="J48" s="27">
        <v>35</v>
      </c>
      <c r="X48" s="9"/>
    </row>
    <row r="49" spans="1:24">
      <c r="A49" t="s">
        <v>53</v>
      </c>
      <c r="H49" s="19" t="s">
        <v>98</v>
      </c>
      <c r="J49" s="44">
        <v>7</v>
      </c>
      <c r="X49" s="9"/>
    </row>
    <row r="50" spans="1:24">
      <c r="A50" t="s">
        <v>1907</v>
      </c>
      <c r="H50" s="19" t="s">
        <v>99</v>
      </c>
      <c r="J50" s="44">
        <v>18</v>
      </c>
      <c r="X50" s="9"/>
    </row>
    <row r="51" spans="1:24">
      <c r="H51" s="19" t="s">
        <v>100</v>
      </c>
      <c r="J51" s="44">
        <v>10</v>
      </c>
      <c r="X51" s="9"/>
    </row>
    <row r="52" spans="1:24">
      <c r="H52" s="21" t="s">
        <v>101</v>
      </c>
      <c r="I52" s="22"/>
      <c r="J52" s="27">
        <v>46</v>
      </c>
      <c r="X52" s="9"/>
    </row>
    <row r="53" spans="1:24">
      <c r="H53" s="19" t="s">
        <v>102</v>
      </c>
      <c r="J53" s="44">
        <v>35</v>
      </c>
      <c r="X53" s="9"/>
    </row>
    <row r="54" spans="1:24">
      <c r="H54" s="19" t="s">
        <v>103</v>
      </c>
      <c r="J54" s="44">
        <v>11</v>
      </c>
      <c r="X54" s="9"/>
    </row>
    <row r="55" spans="1:24">
      <c r="H55" s="21" t="s">
        <v>104</v>
      </c>
      <c r="I55" s="22"/>
      <c r="J55" s="27">
        <v>33</v>
      </c>
      <c r="X55" s="9"/>
    </row>
    <row r="56" spans="1:24">
      <c r="H56" s="19" t="s">
        <v>105</v>
      </c>
      <c r="J56" s="44">
        <v>6</v>
      </c>
      <c r="X56" s="9"/>
    </row>
    <row r="57" spans="1:24">
      <c r="H57" s="19" t="s">
        <v>106</v>
      </c>
      <c r="J57" s="44">
        <v>27</v>
      </c>
      <c r="X57" s="9"/>
    </row>
    <row r="58" spans="1:24" ht="15.75" customHeight="1">
      <c r="H58" s="23" t="s">
        <v>95</v>
      </c>
      <c r="I58" s="24"/>
      <c r="J58" s="27">
        <v>114</v>
      </c>
    </row>
    <row r="61" spans="1:24">
      <c r="A61" s="73" t="s">
        <v>2074</v>
      </c>
      <c r="B61" s="73"/>
      <c r="C61" s="73"/>
      <c r="D61" s="73"/>
      <c r="E61" s="73"/>
      <c r="F61" s="73"/>
      <c r="G61" s="73"/>
      <c r="H61" s="73"/>
    </row>
    <row r="65" spans="1:7" ht="17.25">
      <c r="A65" s="2" t="s">
        <v>107</v>
      </c>
    </row>
    <row r="66" spans="1:7">
      <c r="B66" t="s">
        <v>108</v>
      </c>
    </row>
    <row r="67" spans="1:7">
      <c r="A67" s="3"/>
    </row>
    <row r="68" spans="1:7">
      <c r="A68" s="14" t="s">
        <v>109</v>
      </c>
      <c r="B68" s="3" t="s">
        <v>110</v>
      </c>
    </row>
    <row r="69" spans="1:7">
      <c r="A69" s="3"/>
      <c r="C69" t="s">
        <v>53</v>
      </c>
    </row>
    <row r="70" spans="1:7">
      <c r="B70" s="20" t="s">
        <v>111</v>
      </c>
      <c r="C70" s="53" t="s">
        <v>112</v>
      </c>
    </row>
    <row r="71" spans="1:7">
      <c r="D71" s="4" t="s">
        <v>113</v>
      </c>
      <c r="E71" s="5" t="s">
        <v>114</v>
      </c>
      <c r="F71" s="5"/>
      <c r="G71" s="5"/>
    </row>
    <row r="72" spans="1:7">
      <c r="D72" s="54" t="s">
        <v>115</v>
      </c>
      <c r="E72" s="5" t="s">
        <v>116</v>
      </c>
      <c r="F72" s="5"/>
      <c r="G72" s="5"/>
    </row>
    <row r="73" spans="1:7">
      <c r="D73" s="54"/>
      <c r="E73" s="5" t="s">
        <v>117</v>
      </c>
      <c r="F73" s="5"/>
      <c r="G73" s="5"/>
    </row>
    <row r="74" spans="1:7">
      <c r="D74" s="54"/>
      <c r="E74" s="5" t="s">
        <v>118</v>
      </c>
      <c r="F74" s="5"/>
      <c r="G74" s="5"/>
    </row>
    <row r="75" spans="1:7">
      <c r="D75" s="54"/>
      <c r="E75" s="5" t="s">
        <v>119</v>
      </c>
      <c r="F75" s="5"/>
      <c r="G75" s="5"/>
    </row>
    <row r="76" spans="1:7">
      <c r="D76" s="4" t="s">
        <v>120</v>
      </c>
      <c r="E76" s="5" t="s">
        <v>121</v>
      </c>
      <c r="F76" s="5"/>
      <c r="G76" s="5"/>
    </row>
    <row r="77" spans="1:7">
      <c r="D77" s="54" t="s">
        <v>122</v>
      </c>
      <c r="E77" s="5" t="s">
        <v>123</v>
      </c>
      <c r="F77" s="5"/>
      <c r="G77" s="5"/>
    </row>
    <row r="78" spans="1:7">
      <c r="D78" s="54"/>
      <c r="E78" s="6" t="s">
        <v>124</v>
      </c>
      <c r="F78" s="6"/>
      <c r="G78" s="6"/>
    </row>
    <row r="79" spans="1:7">
      <c r="D79" s="54"/>
      <c r="E79" s="6" t="s">
        <v>125</v>
      </c>
      <c r="F79" s="6"/>
      <c r="G79" s="6"/>
    </row>
    <row r="80" spans="1:7">
      <c r="D80" s="4" t="s">
        <v>126</v>
      </c>
      <c r="E80" s="5">
        <v>70839000</v>
      </c>
      <c r="F80" s="5"/>
      <c r="G80" s="5"/>
    </row>
    <row r="81" spans="2:7">
      <c r="D81" s="4" t="s">
        <v>127</v>
      </c>
      <c r="E81" s="5">
        <v>600022846</v>
      </c>
      <c r="F81" s="5"/>
      <c r="G81" s="5"/>
    </row>
    <row r="82" spans="2:7">
      <c r="D82" s="4" t="s">
        <v>128</v>
      </c>
      <c r="E82" s="5" t="s">
        <v>129</v>
      </c>
      <c r="F82" s="5"/>
      <c r="G82" s="5"/>
    </row>
    <row r="83" spans="2:7">
      <c r="D83" s="4" t="s">
        <v>130</v>
      </c>
      <c r="E83" s="5" t="s">
        <v>131</v>
      </c>
      <c r="F83" s="5"/>
      <c r="G83" s="5"/>
    </row>
    <row r="85" spans="2:7">
      <c r="B85" s="20" t="s">
        <v>132</v>
      </c>
      <c r="C85" s="52" t="s">
        <v>133</v>
      </c>
    </row>
    <row r="86" spans="2:7">
      <c r="D86" t="s">
        <v>134</v>
      </c>
      <c r="E86" s="45" t="s">
        <v>135</v>
      </c>
    </row>
    <row r="87" spans="2:7" ht="75">
      <c r="D87" t="s">
        <v>136</v>
      </c>
      <c r="E87" s="46" t="s">
        <v>137</v>
      </c>
    </row>
    <row r="89" spans="2:7">
      <c r="D89" t="s">
        <v>138</v>
      </c>
      <c r="E89" s="47">
        <v>359601038</v>
      </c>
    </row>
    <row r="90" spans="2:7">
      <c r="D90" s="4" t="s">
        <v>128</v>
      </c>
      <c r="E90" s="5" t="s">
        <v>129</v>
      </c>
    </row>
    <row r="91" spans="2:7" ht="23.25">
      <c r="D91" s="48" t="s">
        <v>139</v>
      </c>
    </row>
    <row r="94" spans="2:7">
      <c r="B94" s="20" t="s">
        <v>140</v>
      </c>
      <c r="C94" s="52" t="s">
        <v>141</v>
      </c>
    </row>
    <row r="95" spans="2:7">
      <c r="C95" t="s">
        <v>142</v>
      </c>
    </row>
    <row r="96" spans="2:7">
      <c r="D96" t="s">
        <v>136</v>
      </c>
      <c r="E96" s="13" t="s">
        <v>143</v>
      </c>
    </row>
    <row r="97" spans="1:6">
      <c r="D97" t="s">
        <v>138</v>
      </c>
      <c r="E97" s="47">
        <v>353115344</v>
      </c>
    </row>
    <row r="98" spans="1:6">
      <c r="D98" t="s">
        <v>134</v>
      </c>
      <c r="E98" t="s">
        <v>144</v>
      </c>
    </row>
    <row r="99" spans="1:6" ht="21.75">
      <c r="D99" s="50" t="s">
        <v>145</v>
      </c>
    </row>
    <row r="100" spans="1:6" ht="18.75">
      <c r="C100" t="s">
        <v>146</v>
      </c>
      <c r="D100" s="51" t="s">
        <v>147</v>
      </c>
    </row>
    <row r="101" spans="1:6" ht="18.75">
      <c r="D101" s="49" t="s">
        <v>148</v>
      </c>
      <c r="E101" s="49" t="s">
        <v>149</v>
      </c>
      <c r="F101" s="49"/>
    </row>
    <row r="102" spans="1:6" ht="18.75">
      <c r="C102" t="s">
        <v>150</v>
      </c>
      <c r="D102" s="51" t="s">
        <v>151</v>
      </c>
      <c r="E102" s="49"/>
      <c r="F102" s="49"/>
    </row>
    <row r="103" spans="1:6" ht="18.75">
      <c r="D103" s="49" t="s">
        <v>148</v>
      </c>
      <c r="E103" s="49" t="s">
        <v>152</v>
      </c>
      <c r="F103" s="49"/>
    </row>
    <row r="104" spans="1:6" ht="18.75">
      <c r="C104" t="s">
        <v>153</v>
      </c>
      <c r="D104" s="51" t="s">
        <v>154</v>
      </c>
      <c r="E104" s="49"/>
      <c r="F104" s="49"/>
    </row>
    <row r="105" spans="1:6" ht="18.75">
      <c r="D105" s="49" t="s">
        <v>148</v>
      </c>
      <c r="E105" s="49" t="s">
        <v>155</v>
      </c>
      <c r="F105" s="49"/>
    </row>
    <row r="107" spans="1:6">
      <c r="A107" s="14" t="s">
        <v>156</v>
      </c>
      <c r="B107" s="14" t="s">
        <v>157</v>
      </c>
    </row>
    <row r="108" spans="1:6">
      <c r="B108" s="14" t="s">
        <v>83</v>
      </c>
    </row>
  </sheetData>
  <mergeCells count="2">
    <mergeCell ref="D72:D75"/>
    <mergeCell ref="D77:D79"/>
  </mergeCells>
  <hyperlinks>
    <hyperlink ref="E78" r:id="rId1" display="mailto:zps.ostrov@email.cz" xr:uid="{84CD3272-6AEA-47BB-8069-92703F2FF3D0}"/>
    <hyperlink ref="E79" r:id="rId2" display="http://www.zspostrov.cz/" xr:uid="{E78764CF-B0D9-414A-9215-DA0575FEBF84}"/>
    <hyperlink ref="J15" r:id="rId3" display="ZŠ" xr:uid="{C2D3A68F-7B9B-46B2-ABD8-3227CAF4FBED}"/>
    <hyperlink ref="J24" r:id="rId4" display="https://www.datazapad.cz/pages/rim-mapa-skol-karlovarskeho-kraje" xr:uid="{7424CD0C-B7CA-4F07-BEC2-C7C01E991DD9}"/>
    <hyperlink ref="E87" r:id="rId5" display="https://www.google.com/maps/place/data=!4m2!3m1!1s0x47a0996934141dcf:0x8b10e7e1d529e6b5?sa=X&amp;ved=1t:8290&amp;ictx=111" xr:uid="{442B8AD9-2D4A-4EC5-BA04-E7237053C012}"/>
    <hyperlink ref="E89" r:id="rId6" display="https://www.google.com/search?q=Z%C5%A0+M%C5%A0+a+praktick%C3%A1+%C5%A1kola+Karlovy+Vary&amp;rlz=1C1GCEU_csCZ1103CZ1105&amp;oq=Z%C5%A0+M%C5%A0+a+praktick%C3%A1+%C5%A1kola+Karlovy+Vary&amp;gs_lcrp=EgZjaHJvbWUyCQgAEEUYORifBdIBBzMxNWowajeoAgCwAgA&amp;sourceid=chrome&amp;source=chrome.ob&amp;ie=UTF-8" xr:uid="{BBC36291-778D-4ECA-BFA6-8088CCE6C953}"/>
    <hyperlink ref="E96" r:id="rId7" display="https://www.google.com/maps/place/data=!4m2!3m1!1s0x47a0996afa517143:0x29060505df6bba6?sa=X&amp;ved=1t:8290&amp;ictx=111" xr:uid="{B554E5B8-B937-4906-A7E7-CA9B36B7E174}"/>
    <hyperlink ref="E97" r:id="rId8" display="https://www.google.com/search?q=Z%C5%A0+a+M%C5%A0+p%C5%99i+zdravotnick%C3%BDch+za%C5%99%C3%ADzen%C3%ADch+KV&amp;rlz=1C1GCEU_csCZ1103CZ1105&amp;oq=Z%C5%A0+a+M%C5%A0+p%C5%99i+zdravotnick%C3%BDch+za%C5%99%C3%ADzen%C3%ADch+KV&amp;gs_lcrp=EgZjaHJvbWUyBggAEEUYOdIBBzUyNmowajeoAgCwAgA&amp;sourceid=chrome&amp;source=chrome.ob&amp;ie=UTF-8" xr:uid="{5FDA3730-1227-498C-BC98-A4487CA263E9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A3CF-9B47-4A2A-B1A3-01A083D141BE}">
  <sheetPr>
    <tabColor theme="7" tint="0.79998168889431442"/>
  </sheetPr>
  <dimension ref="B4:D214"/>
  <sheetViews>
    <sheetView workbookViewId="0">
      <selection activeCell="C25" sqref="C25"/>
    </sheetView>
  </sheetViews>
  <sheetFormatPr defaultRowHeight="15"/>
  <cols>
    <col min="2" max="2" width="85.28515625" customWidth="1"/>
    <col min="3" max="3" width="5.42578125" customWidth="1"/>
    <col min="4" max="4" width="15" bestFit="1" customWidth="1"/>
    <col min="5" max="5" width="42.42578125" bestFit="1" customWidth="1"/>
    <col min="6" max="6" width="30.7109375" bestFit="1" customWidth="1"/>
    <col min="7" max="8" width="19.85546875" bestFit="1" customWidth="1"/>
    <col min="9" max="9" width="24.140625" bestFit="1" customWidth="1"/>
    <col min="10" max="10" width="23" bestFit="1" customWidth="1"/>
    <col min="11" max="11" width="22.140625" bestFit="1" customWidth="1"/>
    <col min="12" max="12" width="15.85546875" bestFit="1" customWidth="1"/>
    <col min="13" max="13" width="18" bestFit="1" customWidth="1"/>
    <col min="14" max="14" width="25.5703125" bestFit="1" customWidth="1"/>
    <col min="15" max="15" width="22.7109375" bestFit="1" customWidth="1"/>
    <col min="16" max="16" width="22.85546875" bestFit="1" customWidth="1"/>
    <col min="17" max="17" width="16.5703125" bestFit="1" customWidth="1"/>
    <col min="18" max="18" width="20.42578125" bestFit="1" customWidth="1"/>
    <col min="19" max="19" width="20" bestFit="1" customWidth="1"/>
    <col min="20" max="20" width="18.28515625" bestFit="1" customWidth="1"/>
    <col min="21" max="21" width="13.7109375" bestFit="1" customWidth="1"/>
    <col min="22" max="22" width="17.28515625" bestFit="1" customWidth="1"/>
    <col min="23" max="23" width="18.42578125" bestFit="1" customWidth="1"/>
    <col min="24" max="24" width="15.42578125" bestFit="1" customWidth="1"/>
    <col min="25" max="25" width="16.7109375" bestFit="1" customWidth="1"/>
    <col min="26" max="26" width="24.5703125" bestFit="1" customWidth="1"/>
    <col min="27" max="27" width="17.42578125" bestFit="1" customWidth="1"/>
    <col min="28" max="28" width="15.140625" bestFit="1" customWidth="1"/>
    <col min="29" max="29" width="17.85546875" bestFit="1" customWidth="1"/>
    <col min="30" max="30" width="21.140625" bestFit="1" customWidth="1"/>
    <col min="31" max="31" width="27.42578125" bestFit="1" customWidth="1"/>
    <col min="32" max="32" width="21.85546875" bestFit="1" customWidth="1"/>
    <col min="33" max="33" width="23" bestFit="1" customWidth="1"/>
    <col min="34" max="34" width="19.5703125" bestFit="1" customWidth="1"/>
    <col min="35" max="35" width="24.7109375" bestFit="1" customWidth="1"/>
    <col min="36" max="36" width="23" bestFit="1" customWidth="1"/>
    <col min="37" max="37" width="25.5703125" bestFit="1" customWidth="1"/>
    <col min="38" max="38" width="33.140625" bestFit="1" customWidth="1"/>
    <col min="39" max="39" width="24.28515625" bestFit="1" customWidth="1"/>
    <col min="40" max="40" width="19" bestFit="1" customWidth="1"/>
    <col min="41" max="41" width="28.140625" bestFit="1" customWidth="1"/>
    <col min="42" max="42" width="22.28515625" bestFit="1" customWidth="1"/>
    <col min="43" max="43" width="20" bestFit="1" customWidth="1"/>
    <col min="44" max="44" width="29.28515625" bestFit="1" customWidth="1"/>
    <col min="45" max="45" width="20.7109375" bestFit="1" customWidth="1"/>
    <col min="46" max="46" width="22.7109375" bestFit="1" customWidth="1"/>
    <col min="47" max="47" width="21" bestFit="1" customWidth="1"/>
    <col min="48" max="48" width="14.5703125" bestFit="1" customWidth="1"/>
    <col min="49" max="49" width="22.7109375" bestFit="1" customWidth="1"/>
    <col min="50" max="50" width="18.7109375" bestFit="1" customWidth="1"/>
    <col min="51" max="51" width="22.7109375" bestFit="1" customWidth="1"/>
    <col min="52" max="52" width="25.28515625" bestFit="1" customWidth="1"/>
    <col min="53" max="53" width="30.140625" bestFit="1" customWidth="1"/>
    <col min="54" max="54" width="20.85546875" bestFit="1" customWidth="1"/>
    <col min="55" max="55" width="24.42578125" bestFit="1" customWidth="1"/>
    <col min="56" max="56" width="21.140625" bestFit="1" customWidth="1"/>
    <col min="57" max="57" width="19.28515625" bestFit="1" customWidth="1"/>
    <col min="58" max="58" width="22.85546875" bestFit="1" customWidth="1"/>
    <col min="59" max="59" width="22.42578125" bestFit="1" customWidth="1"/>
    <col min="60" max="60" width="23.7109375" bestFit="1" customWidth="1"/>
    <col min="61" max="61" width="22.140625" bestFit="1" customWidth="1"/>
    <col min="62" max="62" width="28.140625" bestFit="1" customWidth="1"/>
    <col min="63" max="63" width="29.7109375" bestFit="1" customWidth="1"/>
    <col min="64" max="64" width="28" bestFit="1" customWidth="1"/>
    <col min="65" max="65" width="26.85546875" bestFit="1" customWidth="1"/>
    <col min="66" max="66" width="31.5703125" bestFit="1" customWidth="1"/>
    <col min="67" max="67" width="21.7109375" bestFit="1" customWidth="1"/>
    <col min="68" max="68" width="26" bestFit="1" customWidth="1"/>
    <col min="69" max="69" width="20.7109375" bestFit="1" customWidth="1"/>
    <col min="70" max="70" width="24.85546875" bestFit="1" customWidth="1"/>
    <col min="71" max="71" width="27.28515625" bestFit="1" customWidth="1"/>
    <col min="72" max="72" width="24" bestFit="1" customWidth="1"/>
    <col min="73" max="73" width="13.42578125" bestFit="1" customWidth="1"/>
    <col min="74" max="75" width="20.5703125" bestFit="1" customWidth="1"/>
    <col min="76" max="76" width="19.28515625" bestFit="1" customWidth="1"/>
    <col min="77" max="77" width="22.5703125" bestFit="1" customWidth="1"/>
    <col min="78" max="78" width="21.85546875" bestFit="1" customWidth="1"/>
    <col min="79" max="79" width="15.7109375" bestFit="1" customWidth="1"/>
    <col min="80" max="80" width="20.85546875" bestFit="1" customWidth="1"/>
    <col min="81" max="81" width="13.85546875" bestFit="1" customWidth="1"/>
    <col min="82" max="82" width="27.7109375" bestFit="1" customWidth="1"/>
    <col min="83" max="83" width="19.85546875" bestFit="1" customWidth="1"/>
    <col min="84" max="84" width="22.140625" bestFit="1" customWidth="1"/>
    <col min="85" max="85" width="18" bestFit="1" customWidth="1"/>
    <col min="86" max="86" width="23.5703125" bestFit="1" customWidth="1"/>
    <col min="87" max="87" width="31" bestFit="1" customWidth="1"/>
    <col min="88" max="88" width="25.140625" bestFit="1" customWidth="1"/>
    <col min="89" max="89" width="21.140625" bestFit="1" customWidth="1"/>
    <col min="90" max="90" width="17.85546875" bestFit="1" customWidth="1"/>
    <col min="91" max="91" width="19.42578125" bestFit="1" customWidth="1"/>
    <col min="92" max="92" width="19.5703125" bestFit="1" customWidth="1"/>
    <col min="93" max="93" width="21.85546875" bestFit="1" customWidth="1"/>
    <col min="94" max="94" width="19.140625" bestFit="1" customWidth="1"/>
    <col min="95" max="95" width="15" bestFit="1" customWidth="1"/>
    <col min="96" max="97" width="20.85546875" bestFit="1" customWidth="1"/>
    <col min="98" max="98" width="25.140625" bestFit="1" customWidth="1"/>
    <col min="99" max="99" width="20" bestFit="1" customWidth="1"/>
    <col min="100" max="100" width="25.85546875" bestFit="1" customWidth="1"/>
    <col min="101" max="101" width="20.7109375" bestFit="1" customWidth="1"/>
    <col min="102" max="102" width="26.42578125" bestFit="1" customWidth="1"/>
    <col min="103" max="103" width="19" bestFit="1" customWidth="1"/>
    <col min="104" max="104" width="15.42578125" bestFit="1" customWidth="1"/>
    <col min="105" max="105" width="23.28515625" bestFit="1" customWidth="1"/>
    <col min="106" max="106" width="20.7109375" bestFit="1" customWidth="1"/>
    <col min="107" max="107" width="23.42578125" bestFit="1" customWidth="1"/>
    <col min="108" max="108" width="18.42578125" bestFit="1" customWidth="1"/>
    <col min="109" max="109" width="21" bestFit="1" customWidth="1"/>
    <col min="110" max="110" width="23.28515625" bestFit="1" customWidth="1"/>
    <col min="111" max="111" width="20.42578125" bestFit="1" customWidth="1"/>
    <col min="112" max="112" width="22.85546875" bestFit="1" customWidth="1"/>
    <col min="113" max="113" width="19.7109375" bestFit="1" customWidth="1"/>
    <col min="114" max="114" width="21.42578125" bestFit="1" customWidth="1"/>
    <col min="115" max="115" width="23.140625" bestFit="1" customWidth="1"/>
    <col min="116" max="116" width="9.5703125" bestFit="1" customWidth="1"/>
    <col min="117" max="117" width="11.7109375" bestFit="1" customWidth="1"/>
    <col min="118" max="118" width="15" bestFit="1" customWidth="1"/>
  </cols>
  <sheetData>
    <row r="4" spans="2:4" ht="21">
      <c r="B4" s="41" t="s">
        <v>2070</v>
      </c>
    </row>
    <row r="6" spans="2:4">
      <c r="B6" s="16" t="s">
        <v>1904</v>
      </c>
      <c r="C6" s="16" t="s">
        <v>1905</v>
      </c>
    </row>
    <row r="7" spans="2:4">
      <c r="B7" s="16" t="s">
        <v>1906</v>
      </c>
      <c r="C7" t="s">
        <v>184</v>
      </c>
      <c r="D7" t="s">
        <v>95</v>
      </c>
    </row>
    <row r="8" spans="2:4">
      <c r="B8" s="18" t="s">
        <v>97</v>
      </c>
      <c r="C8">
        <v>35</v>
      </c>
      <c r="D8">
        <v>35</v>
      </c>
    </row>
    <row r="9" spans="2:4">
      <c r="B9" s="19" t="s">
        <v>98</v>
      </c>
      <c r="C9">
        <v>7</v>
      </c>
      <c r="D9">
        <v>7</v>
      </c>
    </row>
    <row r="10" spans="2:4">
      <c r="B10" s="19" t="s">
        <v>99</v>
      </c>
      <c r="C10">
        <v>18</v>
      </c>
      <c r="D10">
        <v>18</v>
      </c>
    </row>
    <row r="11" spans="2:4">
      <c r="B11" s="19" t="s">
        <v>100</v>
      </c>
      <c r="C11">
        <v>10</v>
      </c>
      <c r="D11">
        <v>10</v>
      </c>
    </row>
    <row r="12" spans="2:4">
      <c r="B12" s="18" t="s">
        <v>101</v>
      </c>
      <c r="C12">
        <v>46</v>
      </c>
      <c r="D12">
        <v>46</v>
      </c>
    </row>
    <row r="13" spans="2:4">
      <c r="B13" s="19" t="s">
        <v>102</v>
      </c>
      <c r="C13">
        <v>35</v>
      </c>
      <c r="D13">
        <v>35</v>
      </c>
    </row>
    <row r="14" spans="2:4">
      <c r="B14" s="19" t="s">
        <v>103</v>
      </c>
      <c r="C14">
        <v>11</v>
      </c>
      <c r="D14">
        <v>11</v>
      </c>
    </row>
    <row r="15" spans="2:4">
      <c r="B15" s="18" t="s">
        <v>104</v>
      </c>
      <c r="C15">
        <v>33</v>
      </c>
      <c r="D15">
        <v>33</v>
      </c>
    </row>
    <row r="16" spans="2:4">
      <c r="B16" s="19" t="s">
        <v>105</v>
      </c>
      <c r="C16">
        <v>6</v>
      </c>
      <c r="D16">
        <v>6</v>
      </c>
    </row>
    <row r="17" spans="2:4">
      <c r="B17" s="19" t="s">
        <v>106</v>
      </c>
      <c r="C17">
        <v>27</v>
      </c>
      <c r="D17">
        <v>27</v>
      </c>
    </row>
    <row r="18" spans="2:4">
      <c r="B18" s="18" t="s">
        <v>95</v>
      </c>
      <c r="C18">
        <v>114</v>
      </c>
      <c r="D18">
        <v>114</v>
      </c>
    </row>
    <row r="24" spans="2:4" ht="21">
      <c r="B24" s="41" t="s">
        <v>2069</v>
      </c>
      <c r="C24" t="s">
        <v>2088</v>
      </c>
    </row>
    <row r="25" spans="2:4">
      <c r="B25" s="16" t="s">
        <v>1904</v>
      </c>
      <c r="C25" s="16" t="s">
        <v>1905</v>
      </c>
    </row>
    <row r="26" spans="2:4">
      <c r="B26" s="16" t="s">
        <v>1906</v>
      </c>
      <c r="C26" t="s">
        <v>184</v>
      </c>
      <c r="D26" t="s">
        <v>95</v>
      </c>
    </row>
    <row r="27" spans="2:4">
      <c r="B27" s="18" t="s">
        <v>97</v>
      </c>
      <c r="C27" s="70">
        <v>35</v>
      </c>
      <c r="D27" s="70">
        <v>35</v>
      </c>
    </row>
    <row r="28" spans="2:4">
      <c r="B28" s="19" t="s">
        <v>98</v>
      </c>
      <c r="C28" s="70">
        <v>7</v>
      </c>
      <c r="D28" s="70">
        <v>7</v>
      </c>
    </row>
    <row r="29" spans="2:4">
      <c r="B29" s="71" t="s">
        <v>66</v>
      </c>
      <c r="C29" s="70">
        <v>5</v>
      </c>
      <c r="D29" s="70">
        <v>5</v>
      </c>
    </row>
    <row r="30" spans="2:4">
      <c r="B30" s="72" t="s">
        <v>1697</v>
      </c>
      <c r="C30" s="70">
        <v>1</v>
      </c>
      <c r="D30" s="70">
        <v>1</v>
      </c>
    </row>
    <row r="31" spans="2:4">
      <c r="B31" s="72" t="s">
        <v>205</v>
      </c>
      <c r="C31" s="70">
        <v>1</v>
      </c>
      <c r="D31" s="70">
        <v>1</v>
      </c>
    </row>
    <row r="32" spans="2:4">
      <c r="B32" s="72" t="s">
        <v>211</v>
      </c>
      <c r="C32" s="70">
        <v>1</v>
      </c>
      <c r="D32" s="70">
        <v>1</v>
      </c>
    </row>
    <row r="33" spans="2:4">
      <c r="B33" s="72" t="s">
        <v>259</v>
      </c>
      <c r="C33" s="70">
        <v>1</v>
      </c>
      <c r="D33" s="70">
        <v>1</v>
      </c>
    </row>
    <row r="34" spans="2:4">
      <c r="B34" s="72" t="s">
        <v>229</v>
      </c>
      <c r="C34" s="70">
        <v>1</v>
      </c>
      <c r="D34" s="70">
        <v>1</v>
      </c>
    </row>
    <row r="35" spans="2:4">
      <c r="B35" s="71" t="s">
        <v>274</v>
      </c>
      <c r="C35" s="70">
        <v>1</v>
      </c>
      <c r="D35" s="70">
        <v>1</v>
      </c>
    </row>
    <row r="36" spans="2:4">
      <c r="B36" s="72" t="s">
        <v>272</v>
      </c>
      <c r="C36" s="70">
        <v>1</v>
      </c>
      <c r="D36" s="70">
        <v>1</v>
      </c>
    </row>
    <row r="37" spans="2:4">
      <c r="B37" s="71" t="s">
        <v>194</v>
      </c>
      <c r="C37" s="70">
        <v>1</v>
      </c>
      <c r="D37" s="70">
        <v>1</v>
      </c>
    </row>
    <row r="38" spans="2:4">
      <c r="B38" s="72" t="s">
        <v>199</v>
      </c>
      <c r="C38" s="70">
        <v>1</v>
      </c>
      <c r="D38" s="70">
        <v>1</v>
      </c>
    </row>
    <row r="39" spans="2:4">
      <c r="B39" s="19" t="s">
        <v>99</v>
      </c>
      <c r="C39" s="70">
        <v>18</v>
      </c>
      <c r="D39" s="70">
        <v>18</v>
      </c>
    </row>
    <row r="40" spans="2:4">
      <c r="B40" s="71" t="s">
        <v>590</v>
      </c>
      <c r="C40" s="70">
        <v>1</v>
      </c>
      <c r="D40" s="70">
        <v>1</v>
      </c>
    </row>
    <row r="41" spans="2:4">
      <c r="B41" s="72" t="s">
        <v>588</v>
      </c>
      <c r="C41" s="70">
        <v>1</v>
      </c>
      <c r="D41" s="70">
        <v>1</v>
      </c>
    </row>
    <row r="42" spans="2:4">
      <c r="B42" s="71" t="s">
        <v>281</v>
      </c>
      <c r="C42" s="70">
        <v>1</v>
      </c>
      <c r="D42" s="70">
        <v>1</v>
      </c>
    </row>
    <row r="43" spans="2:4">
      <c r="B43" s="72" t="s">
        <v>279</v>
      </c>
      <c r="C43" s="70">
        <v>1</v>
      </c>
      <c r="D43" s="70">
        <v>1</v>
      </c>
    </row>
    <row r="44" spans="2:4">
      <c r="B44" s="71" t="s">
        <v>67</v>
      </c>
      <c r="C44" s="70">
        <v>9</v>
      </c>
      <c r="D44" s="70">
        <v>9</v>
      </c>
    </row>
    <row r="45" spans="2:4">
      <c r="B45" s="72" t="s">
        <v>323</v>
      </c>
      <c r="C45" s="70">
        <v>1</v>
      </c>
      <c r="D45" s="70">
        <v>1</v>
      </c>
    </row>
    <row r="46" spans="2:4">
      <c r="B46" s="72" t="s">
        <v>360</v>
      </c>
      <c r="C46" s="70">
        <v>1</v>
      </c>
      <c r="D46" s="70">
        <v>1</v>
      </c>
    </row>
    <row r="47" spans="2:4">
      <c r="B47" s="72" t="s">
        <v>396</v>
      </c>
      <c r="C47" s="70">
        <v>1</v>
      </c>
      <c r="D47" s="70">
        <v>1</v>
      </c>
    </row>
    <row r="48" spans="2:4">
      <c r="B48" s="72" t="s">
        <v>348</v>
      </c>
      <c r="C48" s="70">
        <v>1</v>
      </c>
      <c r="D48" s="70">
        <v>1</v>
      </c>
    </row>
    <row r="49" spans="2:4">
      <c r="B49" s="72" t="s">
        <v>384</v>
      </c>
      <c r="C49" s="70">
        <v>1</v>
      </c>
      <c r="D49" s="70">
        <v>1</v>
      </c>
    </row>
    <row r="50" spans="2:4">
      <c r="B50" s="72" t="s">
        <v>402</v>
      </c>
      <c r="C50" s="70">
        <v>1</v>
      </c>
      <c r="D50" s="70">
        <v>1</v>
      </c>
    </row>
    <row r="51" spans="2:4">
      <c r="B51" s="72" t="s">
        <v>1715</v>
      </c>
      <c r="C51" s="70">
        <v>1</v>
      </c>
      <c r="D51" s="70">
        <v>1</v>
      </c>
    </row>
    <row r="52" spans="2:4">
      <c r="B52" s="72" t="s">
        <v>1709</v>
      </c>
      <c r="C52" s="70">
        <v>1</v>
      </c>
      <c r="D52" s="70">
        <v>1</v>
      </c>
    </row>
    <row r="53" spans="2:4">
      <c r="B53" s="72" t="s">
        <v>372</v>
      </c>
      <c r="C53" s="70">
        <v>1</v>
      </c>
      <c r="D53" s="70">
        <v>1</v>
      </c>
    </row>
    <row r="54" spans="2:4">
      <c r="B54" s="71" t="s">
        <v>267</v>
      </c>
      <c r="C54" s="70">
        <v>1</v>
      </c>
      <c r="D54" s="70">
        <v>1</v>
      </c>
    </row>
    <row r="55" spans="2:4">
      <c r="B55" s="72" t="s">
        <v>265</v>
      </c>
      <c r="C55" s="70">
        <v>1</v>
      </c>
      <c r="D55" s="70">
        <v>1</v>
      </c>
    </row>
    <row r="56" spans="2:4">
      <c r="B56" s="71" t="s">
        <v>460</v>
      </c>
      <c r="C56" s="70">
        <v>1</v>
      </c>
      <c r="D56" s="70">
        <v>1</v>
      </c>
    </row>
    <row r="57" spans="2:4">
      <c r="B57" s="72" t="s">
        <v>458</v>
      </c>
      <c r="C57" s="70">
        <v>1</v>
      </c>
      <c r="D57" s="70">
        <v>1</v>
      </c>
    </row>
    <row r="58" spans="2:4">
      <c r="B58" s="71" t="s">
        <v>422</v>
      </c>
      <c r="C58" s="70">
        <v>1</v>
      </c>
      <c r="D58" s="70">
        <v>1</v>
      </c>
    </row>
    <row r="59" spans="2:4">
      <c r="B59" s="72" t="s">
        <v>445</v>
      </c>
      <c r="C59" s="70">
        <v>1</v>
      </c>
      <c r="D59" s="70">
        <v>1</v>
      </c>
    </row>
    <row r="60" spans="2:4">
      <c r="B60" s="71" t="s">
        <v>467</v>
      </c>
      <c r="C60" s="70">
        <v>1</v>
      </c>
      <c r="D60" s="70">
        <v>1</v>
      </c>
    </row>
    <row r="61" spans="2:4">
      <c r="B61" s="72" t="s">
        <v>465</v>
      </c>
      <c r="C61" s="70">
        <v>1</v>
      </c>
      <c r="D61" s="70">
        <v>1</v>
      </c>
    </row>
    <row r="62" spans="2:4">
      <c r="B62" s="71" t="s">
        <v>453</v>
      </c>
      <c r="C62" s="70">
        <v>1</v>
      </c>
      <c r="D62" s="70">
        <v>1</v>
      </c>
    </row>
    <row r="63" spans="2:4">
      <c r="B63" s="72" t="s">
        <v>451</v>
      </c>
      <c r="C63" s="70">
        <v>1</v>
      </c>
      <c r="D63" s="70">
        <v>1</v>
      </c>
    </row>
    <row r="64" spans="2:4">
      <c r="B64" s="71" t="s">
        <v>300</v>
      </c>
      <c r="C64" s="70">
        <v>1</v>
      </c>
      <c r="D64" s="70">
        <v>1</v>
      </c>
    </row>
    <row r="65" spans="2:4">
      <c r="B65" s="72" t="s">
        <v>298</v>
      </c>
      <c r="C65" s="70">
        <v>1</v>
      </c>
      <c r="D65" s="70">
        <v>1</v>
      </c>
    </row>
    <row r="66" spans="2:4">
      <c r="B66" s="71" t="s">
        <v>337</v>
      </c>
      <c r="C66" s="70">
        <v>1</v>
      </c>
      <c r="D66" s="70">
        <v>1</v>
      </c>
    </row>
    <row r="67" spans="2:4">
      <c r="B67" s="72" t="s">
        <v>335</v>
      </c>
      <c r="C67" s="70">
        <v>1</v>
      </c>
      <c r="D67" s="70">
        <v>1</v>
      </c>
    </row>
    <row r="68" spans="2:4">
      <c r="B68" s="19" t="s">
        <v>100</v>
      </c>
      <c r="C68" s="70">
        <v>10</v>
      </c>
      <c r="D68" s="70">
        <v>10</v>
      </c>
    </row>
    <row r="69" spans="2:4">
      <c r="B69" s="71" t="s">
        <v>764</v>
      </c>
      <c r="C69" s="70">
        <v>1</v>
      </c>
      <c r="D69" s="70">
        <v>1</v>
      </c>
    </row>
    <row r="70" spans="2:4">
      <c r="B70" s="72" t="s">
        <v>762</v>
      </c>
      <c r="C70" s="70">
        <v>1</v>
      </c>
      <c r="D70" s="70">
        <v>1</v>
      </c>
    </row>
    <row r="71" spans="2:4">
      <c r="B71" s="71" t="s">
        <v>664</v>
      </c>
      <c r="C71" s="70">
        <v>1</v>
      </c>
      <c r="D71" s="70">
        <v>1</v>
      </c>
    </row>
    <row r="72" spans="2:4">
      <c r="B72" s="72" t="s">
        <v>662</v>
      </c>
      <c r="C72" s="70">
        <v>1</v>
      </c>
      <c r="D72" s="70">
        <v>1</v>
      </c>
    </row>
    <row r="73" spans="2:4">
      <c r="B73" s="71" t="s">
        <v>847</v>
      </c>
      <c r="C73" s="70">
        <v>4</v>
      </c>
      <c r="D73" s="70">
        <v>4</v>
      </c>
    </row>
    <row r="74" spans="2:4">
      <c r="B74" s="72" t="s">
        <v>1777</v>
      </c>
      <c r="C74" s="70">
        <v>1</v>
      </c>
      <c r="D74" s="70">
        <v>1</v>
      </c>
    </row>
    <row r="75" spans="2:4">
      <c r="B75" s="72" t="s">
        <v>858</v>
      </c>
      <c r="C75" s="70">
        <v>1</v>
      </c>
      <c r="D75" s="70">
        <v>1</v>
      </c>
    </row>
    <row r="76" spans="2:4">
      <c r="B76" s="72" t="s">
        <v>888</v>
      </c>
      <c r="C76" s="70">
        <v>1</v>
      </c>
      <c r="D76" s="70">
        <v>1</v>
      </c>
    </row>
    <row r="77" spans="2:4">
      <c r="B77" s="72" t="s">
        <v>845</v>
      </c>
      <c r="C77" s="70">
        <v>1</v>
      </c>
      <c r="D77" s="70">
        <v>1</v>
      </c>
    </row>
    <row r="78" spans="2:4">
      <c r="B78" s="71" t="s">
        <v>636</v>
      </c>
      <c r="C78" s="70">
        <v>1</v>
      </c>
      <c r="D78" s="70">
        <v>1</v>
      </c>
    </row>
    <row r="79" spans="2:4">
      <c r="B79" s="72" t="s">
        <v>634</v>
      </c>
      <c r="C79" s="70">
        <v>1</v>
      </c>
      <c r="D79" s="70">
        <v>1</v>
      </c>
    </row>
    <row r="80" spans="2:4">
      <c r="B80" s="71" t="s">
        <v>1234</v>
      </c>
      <c r="C80" s="70">
        <v>1</v>
      </c>
      <c r="D80" s="70">
        <v>1</v>
      </c>
    </row>
    <row r="81" spans="2:4">
      <c r="B81" s="72" t="s">
        <v>1232</v>
      </c>
      <c r="C81" s="70">
        <v>1</v>
      </c>
      <c r="D81" s="70">
        <v>1</v>
      </c>
    </row>
    <row r="82" spans="2:4">
      <c r="B82" s="71" t="s">
        <v>650</v>
      </c>
      <c r="C82" s="70">
        <v>1</v>
      </c>
      <c r="D82" s="70">
        <v>1</v>
      </c>
    </row>
    <row r="83" spans="2:4">
      <c r="B83" s="72" t="s">
        <v>648</v>
      </c>
      <c r="C83" s="70">
        <v>1</v>
      </c>
      <c r="D83" s="70">
        <v>1</v>
      </c>
    </row>
    <row r="84" spans="2:4">
      <c r="B84" s="71" t="s">
        <v>777</v>
      </c>
      <c r="C84" s="70">
        <v>1</v>
      </c>
      <c r="D84" s="70">
        <v>1</v>
      </c>
    </row>
    <row r="85" spans="2:4">
      <c r="B85" s="72" t="s">
        <v>775</v>
      </c>
      <c r="C85" s="70">
        <v>1</v>
      </c>
      <c r="D85" s="70">
        <v>1</v>
      </c>
    </row>
    <row r="86" spans="2:4">
      <c r="B86" s="18" t="s">
        <v>101</v>
      </c>
      <c r="C86" s="70">
        <v>46</v>
      </c>
      <c r="D86" s="70">
        <v>46</v>
      </c>
    </row>
    <row r="87" spans="2:4">
      <c r="B87" s="19" t="s">
        <v>102</v>
      </c>
      <c r="C87" s="70">
        <v>35</v>
      </c>
      <c r="D87" s="70">
        <v>35</v>
      </c>
    </row>
    <row r="88" spans="2:4">
      <c r="B88" s="71" t="s">
        <v>1166</v>
      </c>
      <c r="C88" s="70">
        <v>1</v>
      </c>
      <c r="D88" s="70">
        <v>1</v>
      </c>
    </row>
    <row r="89" spans="2:4">
      <c r="B89" s="72" t="s">
        <v>1164</v>
      </c>
      <c r="C89" s="70">
        <v>1</v>
      </c>
      <c r="D89" s="70">
        <v>1</v>
      </c>
    </row>
    <row r="90" spans="2:4">
      <c r="B90" s="71" t="s">
        <v>1434</v>
      </c>
      <c r="C90" s="70">
        <v>1</v>
      </c>
      <c r="D90" s="70">
        <v>1</v>
      </c>
    </row>
    <row r="91" spans="2:4">
      <c r="B91" s="72" t="s">
        <v>1432</v>
      </c>
      <c r="C91" s="70">
        <v>1</v>
      </c>
      <c r="D91" s="70">
        <v>1</v>
      </c>
    </row>
    <row r="92" spans="2:4">
      <c r="B92" s="71" t="s">
        <v>1047</v>
      </c>
      <c r="C92" s="70">
        <v>1</v>
      </c>
      <c r="D92" s="70">
        <v>1</v>
      </c>
    </row>
    <row r="93" spans="2:4">
      <c r="B93" s="72" t="s">
        <v>1045</v>
      </c>
      <c r="C93" s="70">
        <v>1</v>
      </c>
      <c r="D93" s="70">
        <v>1</v>
      </c>
    </row>
    <row r="94" spans="2:4">
      <c r="B94" s="71" t="s">
        <v>1291</v>
      </c>
      <c r="C94" s="70">
        <v>1</v>
      </c>
      <c r="D94" s="70">
        <v>1</v>
      </c>
    </row>
    <row r="95" spans="2:4">
      <c r="B95" s="72" t="s">
        <v>1289</v>
      </c>
      <c r="C95" s="70">
        <v>1</v>
      </c>
      <c r="D95" s="70">
        <v>1</v>
      </c>
    </row>
    <row r="96" spans="2:4">
      <c r="B96" s="71" t="s">
        <v>1474</v>
      </c>
      <c r="C96" s="70">
        <v>1</v>
      </c>
      <c r="D96" s="70">
        <v>1</v>
      </c>
    </row>
    <row r="97" spans="2:4">
      <c r="B97" s="72" t="s">
        <v>1472</v>
      </c>
      <c r="C97" s="70">
        <v>1</v>
      </c>
      <c r="D97" s="70">
        <v>1</v>
      </c>
    </row>
    <row r="98" spans="2:4">
      <c r="B98" s="71" t="s">
        <v>1147</v>
      </c>
      <c r="C98" s="70">
        <v>16</v>
      </c>
      <c r="D98" s="70">
        <v>16</v>
      </c>
    </row>
    <row r="99" spans="2:4">
      <c r="B99" s="72" t="s">
        <v>1857</v>
      </c>
      <c r="C99" s="70">
        <v>1</v>
      </c>
      <c r="D99" s="70">
        <v>1</v>
      </c>
    </row>
    <row r="100" spans="2:4">
      <c r="B100" s="72" t="s">
        <v>1789</v>
      </c>
      <c r="C100" s="70">
        <v>1</v>
      </c>
      <c r="D100" s="70">
        <v>1</v>
      </c>
    </row>
    <row r="101" spans="2:4">
      <c r="B101" s="72" t="s">
        <v>1808</v>
      </c>
      <c r="C101" s="70">
        <v>1</v>
      </c>
      <c r="D101" s="70">
        <v>1</v>
      </c>
    </row>
    <row r="102" spans="2:4">
      <c r="B102" s="72" t="s">
        <v>1595</v>
      </c>
      <c r="C102" s="70">
        <v>1</v>
      </c>
      <c r="D102" s="70">
        <v>1</v>
      </c>
    </row>
    <row r="103" spans="2:4">
      <c r="B103" s="72" t="s">
        <v>1571</v>
      </c>
      <c r="C103" s="70">
        <v>1</v>
      </c>
      <c r="D103" s="70">
        <v>1</v>
      </c>
    </row>
    <row r="104" spans="2:4">
      <c r="B104" s="72" t="s">
        <v>1189</v>
      </c>
      <c r="C104" s="70">
        <v>1</v>
      </c>
      <c r="D104" s="70">
        <v>1</v>
      </c>
    </row>
    <row r="105" spans="2:4">
      <c r="B105" s="72" t="s">
        <v>1214</v>
      </c>
      <c r="C105" s="70">
        <v>1</v>
      </c>
      <c r="D105" s="70">
        <v>1</v>
      </c>
    </row>
    <row r="106" spans="2:4">
      <c r="B106" s="72" t="s">
        <v>1277</v>
      </c>
      <c r="C106" s="70">
        <v>1</v>
      </c>
      <c r="D106" s="70">
        <v>1</v>
      </c>
    </row>
    <row r="107" spans="2:4">
      <c r="B107" s="72" t="s">
        <v>1283</v>
      </c>
      <c r="C107" s="70">
        <v>1</v>
      </c>
      <c r="D107" s="70">
        <v>1</v>
      </c>
    </row>
    <row r="108" spans="2:4">
      <c r="B108" s="72" t="s">
        <v>1158</v>
      </c>
      <c r="C108" s="70">
        <v>1</v>
      </c>
      <c r="D108" s="70">
        <v>1</v>
      </c>
    </row>
    <row r="109" spans="2:4">
      <c r="B109" s="72" t="s">
        <v>1177</v>
      </c>
      <c r="C109" s="70">
        <v>1</v>
      </c>
      <c r="D109" s="70">
        <v>1</v>
      </c>
    </row>
    <row r="110" spans="2:4">
      <c r="B110" s="72" t="s">
        <v>1220</v>
      </c>
      <c r="C110" s="70">
        <v>1</v>
      </c>
      <c r="D110" s="70">
        <v>1</v>
      </c>
    </row>
    <row r="111" spans="2:4">
      <c r="B111" s="72" t="s">
        <v>1183</v>
      </c>
      <c r="C111" s="70">
        <v>1</v>
      </c>
      <c r="D111" s="70">
        <v>1</v>
      </c>
    </row>
    <row r="112" spans="2:4">
      <c r="B112" s="72" t="s">
        <v>1152</v>
      </c>
      <c r="C112" s="70">
        <v>1</v>
      </c>
      <c r="D112" s="70">
        <v>1</v>
      </c>
    </row>
    <row r="113" spans="2:4">
      <c r="B113" s="72" t="s">
        <v>1271</v>
      </c>
      <c r="C113" s="70">
        <v>1</v>
      </c>
      <c r="D113" s="70">
        <v>1</v>
      </c>
    </row>
    <row r="114" spans="2:4">
      <c r="B114" s="72" t="s">
        <v>1802</v>
      </c>
      <c r="C114" s="70">
        <v>1</v>
      </c>
      <c r="D114" s="70">
        <v>1</v>
      </c>
    </row>
    <row r="115" spans="2:4">
      <c r="B115" s="71" t="s">
        <v>1298</v>
      </c>
      <c r="C115" s="70">
        <v>1</v>
      </c>
      <c r="D115" s="70">
        <v>1</v>
      </c>
    </row>
    <row r="116" spans="2:4">
      <c r="B116" s="72" t="s">
        <v>1296</v>
      </c>
      <c r="C116" s="70">
        <v>1</v>
      </c>
      <c r="D116" s="70">
        <v>1</v>
      </c>
    </row>
    <row r="117" spans="2:4">
      <c r="B117" s="71" t="s">
        <v>1380</v>
      </c>
      <c r="C117" s="70">
        <v>1</v>
      </c>
      <c r="D117" s="70">
        <v>1</v>
      </c>
    </row>
    <row r="118" spans="2:4">
      <c r="B118" s="72" t="s">
        <v>1406</v>
      </c>
      <c r="C118" s="70">
        <v>1</v>
      </c>
      <c r="D118" s="70">
        <v>1</v>
      </c>
    </row>
    <row r="119" spans="2:4">
      <c r="B119" s="71" t="s">
        <v>928</v>
      </c>
      <c r="C119" s="70">
        <v>2</v>
      </c>
      <c r="D119" s="70">
        <v>2</v>
      </c>
    </row>
    <row r="120" spans="2:4">
      <c r="B120" s="72" t="s">
        <v>1015</v>
      </c>
      <c r="C120" s="70">
        <v>1</v>
      </c>
      <c r="D120" s="70">
        <v>1</v>
      </c>
    </row>
    <row r="121" spans="2:4">
      <c r="B121" s="72" t="s">
        <v>939</v>
      </c>
      <c r="C121" s="70">
        <v>1</v>
      </c>
      <c r="D121" s="70">
        <v>1</v>
      </c>
    </row>
    <row r="122" spans="2:4">
      <c r="B122" s="71" t="s">
        <v>1061</v>
      </c>
      <c r="C122" s="70">
        <v>1</v>
      </c>
      <c r="D122" s="70">
        <v>1</v>
      </c>
    </row>
    <row r="123" spans="2:4">
      <c r="B123" s="72" t="s">
        <v>1059</v>
      </c>
      <c r="C123" s="70">
        <v>1</v>
      </c>
      <c r="D123" s="70">
        <v>1</v>
      </c>
    </row>
    <row r="124" spans="2:4">
      <c r="B124" s="71" t="s">
        <v>1828</v>
      </c>
      <c r="C124" s="70">
        <v>1</v>
      </c>
      <c r="D124" s="70">
        <v>1</v>
      </c>
    </row>
    <row r="125" spans="2:4">
      <c r="B125" s="72" t="s">
        <v>1826</v>
      </c>
      <c r="C125" s="70">
        <v>1</v>
      </c>
      <c r="D125" s="70">
        <v>1</v>
      </c>
    </row>
    <row r="126" spans="2:4">
      <c r="B126" s="71" t="s">
        <v>1454</v>
      </c>
      <c r="C126" s="70">
        <v>1</v>
      </c>
      <c r="D126" s="70">
        <v>1</v>
      </c>
    </row>
    <row r="127" spans="2:4">
      <c r="B127" s="72" t="s">
        <v>1452</v>
      </c>
      <c r="C127" s="70">
        <v>1</v>
      </c>
      <c r="D127" s="70">
        <v>1</v>
      </c>
    </row>
    <row r="128" spans="2:4">
      <c r="B128" s="71" t="s">
        <v>1373</v>
      </c>
      <c r="C128" s="70">
        <v>4</v>
      </c>
      <c r="D128" s="70">
        <v>4</v>
      </c>
    </row>
    <row r="129" spans="2:4">
      <c r="B129" s="72" t="s">
        <v>1899</v>
      </c>
      <c r="C129" s="70">
        <v>1</v>
      </c>
      <c r="D129" s="70">
        <v>1</v>
      </c>
    </row>
    <row r="130" spans="2:4">
      <c r="B130" s="72" t="s">
        <v>1391</v>
      </c>
      <c r="C130" s="70">
        <v>1</v>
      </c>
      <c r="D130" s="70">
        <v>1</v>
      </c>
    </row>
    <row r="131" spans="2:4">
      <c r="B131" s="72" t="s">
        <v>1371</v>
      </c>
      <c r="C131" s="70">
        <v>1</v>
      </c>
      <c r="D131" s="70">
        <v>1</v>
      </c>
    </row>
    <row r="132" spans="2:4">
      <c r="B132" s="72" t="s">
        <v>1401</v>
      </c>
      <c r="C132" s="70">
        <v>1</v>
      </c>
      <c r="D132" s="70">
        <v>1</v>
      </c>
    </row>
    <row r="133" spans="2:4">
      <c r="B133" s="71" t="s">
        <v>1481</v>
      </c>
      <c r="C133" s="70">
        <v>1</v>
      </c>
      <c r="D133" s="70">
        <v>1</v>
      </c>
    </row>
    <row r="134" spans="2:4">
      <c r="B134" s="72" t="s">
        <v>1479</v>
      </c>
      <c r="C134" s="70">
        <v>1</v>
      </c>
      <c r="D134" s="70">
        <v>1</v>
      </c>
    </row>
    <row r="135" spans="2:4">
      <c r="B135" s="71" t="s">
        <v>1461</v>
      </c>
      <c r="C135" s="70">
        <v>2</v>
      </c>
      <c r="D135" s="70">
        <v>2</v>
      </c>
    </row>
    <row r="136" spans="2:4">
      <c r="B136" s="72" t="s">
        <v>1682</v>
      </c>
      <c r="C136" s="70">
        <v>1</v>
      </c>
      <c r="D136" s="70">
        <v>1</v>
      </c>
    </row>
    <row r="137" spans="2:4">
      <c r="B137" s="72" t="s">
        <v>1459</v>
      </c>
      <c r="C137" s="70">
        <v>1</v>
      </c>
      <c r="D137" s="70">
        <v>1</v>
      </c>
    </row>
    <row r="138" spans="2:4">
      <c r="B138" s="19" t="s">
        <v>103</v>
      </c>
      <c r="C138" s="70">
        <v>11</v>
      </c>
      <c r="D138" s="70">
        <v>11</v>
      </c>
    </row>
    <row r="139" spans="2:4">
      <c r="B139" s="71" t="s">
        <v>1134</v>
      </c>
      <c r="C139" s="70">
        <v>1</v>
      </c>
      <c r="D139" s="70">
        <v>1</v>
      </c>
    </row>
    <row r="140" spans="2:4">
      <c r="B140" s="72" t="s">
        <v>1132</v>
      </c>
      <c r="C140" s="70">
        <v>1</v>
      </c>
      <c r="D140" s="70">
        <v>1</v>
      </c>
    </row>
    <row r="141" spans="2:4">
      <c r="B141" s="71" t="s">
        <v>1054</v>
      </c>
      <c r="C141" s="70">
        <v>1</v>
      </c>
      <c r="D141" s="70">
        <v>1</v>
      </c>
    </row>
    <row r="142" spans="2:4">
      <c r="B142" s="72" t="s">
        <v>1052</v>
      </c>
      <c r="C142" s="70">
        <v>1</v>
      </c>
      <c r="D142" s="70">
        <v>1</v>
      </c>
    </row>
    <row r="143" spans="2:4">
      <c r="B143" s="71" t="s">
        <v>1260</v>
      </c>
      <c r="C143" s="70">
        <v>1</v>
      </c>
      <c r="D143" s="70">
        <v>1</v>
      </c>
    </row>
    <row r="144" spans="2:4">
      <c r="B144" s="72" t="s">
        <v>1258</v>
      </c>
      <c r="C144" s="70">
        <v>1</v>
      </c>
      <c r="D144" s="70">
        <v>1</v>
      </c>
    </row>
    <row r="145" spans="2:4">
      <c r="B145" s="71" t="s">
        <v>1312</v>
      </c>
      <c r="C145" s="70">
        <v>1</v>
      </c>
      <c r="D145" s="70">
        <v>1</v>
      </c>
    </row>
    <row r="146" spans="2:4">
      <c r="B146" s="72" t="s">
        <v>1310</v>
      </c>
      <c r="C146" s="70">
        <v>1</v>
      </c>
      <c r="D146" s="70">
        <v>1</v>
      </c>
    </row>
    <row r="147" spans="2:4">
      <c r="B147" s="71" t="s">
        <v>1197</v>
      </c>
      <c r="C147" s="70">
        <v>1</v>
      </c>
      <c r="D147" s="70">
        <v>1</v>
      </c>
    </row>
    <row r="148" spans="2:4">
      <c r="B148" s="72" t="s">
        <v>1195</v>
      </c>
      <c r="C148" s="70">
        <v>1</v>
      </c>
      <c r="D148" s="70">
        <v>1</v>
      </c>
    </row>
    <row r="149" spans="2:4">
      <c r="B149" s="71" t="s">
        <v>71</v>
      </c>
      <c r="C149" s="70">
        <v>4</v>
      </c>
      <c r="D149" s="70">
        <v>4</v>
      </c>
    </row>
    <row r="150" spans="2:4">
      <c r="B150" s="72" t="s">
        <v>1365</v>
      </c>
      <c r="C150" s="70">
        <v>1</v>
      </c>
      <c r="D150" s="70">
        <v>1</v>
      </c>
    </row>
    <row r="151" spans="2:4">
      <c r="B151" s="72" t="s">
        <v>1353</v>
      </c>
      <c r="C151" s="70">
        <v>1</v>
      </c>
      <c r="D151" s="70">
        <v>1</v>
      </c>
    </row>
    <row r="152" spans="2:4">
      <c r="B152" s="72" t="s">
        <v>1323</v>
      </c>
      <c r="C152" s="70">
        <v>1</v>
      </c>
      <c r="D152" s="70">
        <v>1</v>
      </c>
    </row>
    <row r="153" spans="2:4">
      <c r="B153" s="72" t="s">
        <v>114</v>
      </c>
      <c r="C153" s="70">
        <v>1</v>
      </c>
      <c r="D153" s="70">
        <v>1</v>
      </c>
    </row>
    <row r="154" spans="2:4">
      <c r="B154" s="71" t="s">
        <v>1077</v>
      </c>
      <c r="C154" s="70">
        <v>1</v>
      </c>
      <c r="D154" s="70">
        <v>1</v>
      </c>
    </row>
    <row r="155" spans="2:4">
      <c r="B155" s="72" t="s">
        <v>1075</v>
      </c>
      <c r="C155" s="70">
        <v>1</v>
      </c>
      <c r="D155" s="70">
        <v>1</v>
      </c>
    </row>
    <row r="156" spans="2:4">
      <c r="B156" s="71" t="s">
        <v>959</v>
      </c>
      <c r="C156" s="70">
        <v>1</v>
      </c>
      <c r="D156" s="70">
        <v>1</v>
      </c>
    </row>
    <row r="157" spans="2:4">
      <c r="B157" s="72" t="s">
        <v>957</v>
      </c>
      <c r="C157" s="70">
        <v>1</v>
      </c>
      <c r="D157" s="70">
        <v>1</v>
      </c>
    </row>
    <row r="158" spans="2:4">
      <c r="B158" s="18" t="s">
        <v>104</v>
      </c>
      <c r="C158" s="70">
        <v>33</v>
      </c>
      <c r="D158" s="70">
        <v>33</v>
      </c>
    </row>
    <row r="159" spans="2:4">
      <c r="B159" s="19" t="s">
        <v>105</v>
      </c>
      <c r="C159" s="70">
        <v>6</v>
      </c>
      <c r="D159" s="70">
        <v>6</v>
      </c>
    </row>
    <row r="160" spans="2:4">
      <c r="B160" s="71" t="s">
        <v>643</v>
      </c>
      <c r="C160" s="70">
        <v>1</v>
      </c>
      <c r="D160" s="70">
        <v>1</v>
      </c>
    </row>
    <row r="161" spans="2:4">
      <c r="B161" s="72" t="s">
        <v>641</v>
      </c>
      <c r="C161" s="70">
        <v>1</v>
      </c>
      <c r="D161" s="70">
        <v>1</v>
      </c>
    </row>
    <row r="162" spans="2:4">
      <c r="B162" s="71" t="s">
        <v>69</v>
      </c>
      <c r="C162" s="70">
        <v>3</v>
      </c>
      <c r="D162" s="70">
        <v>3</v>
      </c>
    </row>
    <row r="163" spans="2:4">
      <c r="B163" s="72" t="s">
        <v>507</v>
      </c>
      <c r="C163" s="70">
        <v>1</v>
      </c>
      <c r="D163" s="70">
        <v>1</v>
      </c>
    </row>
    <row r="164" spans="2:4">
      <c r="B164" s="72" t="s">
        <v>513</v>
      </c>
      <c r="C164" s="70">
        <v>1</v>
      </c>
      <c r="D164" s="70">
        <v>1</v>
      </c>
    </row>
    <row r="165" spans="2:4">
      <c r="B165" s="72" t="s">
        <v>483</v>
      </c>
      <c r="C165" s="70">
        <v>1</v>
      </c>
      <c r="D165" s="70">
        <v>1</v>
      </c>
    </row>
    <row r="166" spans="2:4">
      <c r="B166" s="71" t="s">
        <v>610</v>
      </c>
      <c r="C166" s="70">
        <v>1</v>
      </c>
      <c r="D166" s="70">
        <v>1</v>
      </c>
    </row>
    <row r="167" spans="2:4">
      <c r="B167" s="72" t="s">
        <v>608</v>
      </c>
      <c r="C167" s="70">
        <v>1</v>
      </c>
      <c r="D167" s="70">
        <v>1</v>
      </c>
    </row>
    <row r="168" spans="2:4">
      <c r="B168" s="71" t="s">
        <v>603</v>
      </c>
      <c r="C168" s="70">
        <v>1</v>
      </c>
      <c r="D168" s="70">
        <v>1</v>
      </c>
    </row>
    <row r="169" spans="2:4">
      <c r="B169" s="72" t="s">
        <v>601</v>
      </c>
      <c r="C169" s="70">
        <v>1</v>
      </c>
      <c r="D169" s="70">
        <v>1</v>
      </c>
    </row>
    <row r="170" spans="2:4">
      <c r="B170" s="19" t="s">
        <v>106</v>
      </c>
      <c r="C170" s="70">
        <v>27</v>
      </c>
      <c r="D170" s="70">
        <v>27</v>
      </c>
    </row>
    <row r="171" spans="2:4">
      <c r="B171" s="71" t="s">
        <v>702</v>
      </c>
      <c r="C171" s="70">
        <v>1</v>
      </c>
      <c r="D171" s="70">
        <v>1</v>
      </c>
    </row>
    <row r="172" spans="2:4">
      <c r="B172" s="72" t="s">
        <v>720</v>
      </c>
      <c r="C172" s="70">
        <v>1</v>
      </c>
      <c r="D172" s="70">
        <v>1</v>
      </c>
    </row>
    <row r="173" spans="2:4">
      <c r="B173" s="71" t="s">
        <v>617</v>
      </c>
      <c r="C173" s="70">
        <v>1</v>
      </c>
      <c r="D173" s="70">
        <v>1</v>
      </c>
    </row>
    <row r="174" spans="2:4">
      <c r="B174" s="72" t="s">
        <v>615</v>
      </c>
      <c r="C174" s="70">
        <v>1</v>
      </c>
      <c r="D174" s="70">
        <v>1</v>
      </c>
    </row>
    <row r="175" spans="2:4">
      <c r="B175" s="71" t="s">
        <v>565</v>
      </c>
      <c r="C175" s="70">
        <v>1</v>
      </c>
      <c r="D175" s="70">
        <v>1</v>
      </c>
    </row>
    <row r="176" spans="2:4">
      <c r="B176" s="72" t="s">
        <v>570</v>
      </c>
      <c r="C176" s="70">
        <v>1</v>
      </c>
      <c r="D176" s="70">
        <v>1</v>
      </c>
    </row>
    <row r="177" spans="2:4">
      <c r="B177" s="71" t="s">
        <v>1097</v>
      </c>
      <c r="C177" s="70">
        <v>2</v>
      </c>
      <c r="D177" s="70">
        <v>2</v>
      </c>
    </row>
    <row r="178" spans="2:4">
      <c r="B178" s="72" t="s">
        <v>1120</v>
      </c>
      <c r="C178" s="70">
        <v>1</v>
      </c>
      <c r="D178" s="70">
        <v>1</v>
      </c>
    </row>
    <row r="179" spans="2:4">
      <c r="B179" s="72" t="s">
        <v>1095</v>
      </c>
      <c r="C179" s="70">
        <v>1</v>
      </c>
      <c r="D179" s="70">
        <v>1</v>
      </c>
    </row>
    <row r="180" spans="2:4">
      <c r="B180" s="71" t="s">
        <v>986</v>
      </c>
      <c r="C180" s="70">
        <v>3</v>
      </c>
      <c r="D180" s="70">
        <v>3</v>
      </c>
    </row>
    <row r="181" spans="2:4">
      <c r="B181" s="72" t="s">
        <v>991</v>
      </c>
      <c r="C181" s="70">
        <v>1</v>
      </c>
      <c r="D181" s="70">
        <v>1</v>
      </c>
    </row>
    <row r="182" spans="2:4">
      <c r="B182" s="72" t="s">
        <v>984</v>
      </c>
      <c r="C182" s="70">
        <v>1</v>
      </c>
      <c r="D182" s="70">
        <v>1</v>
      </c>
    </row>
    <row r="183" spans="2:4">
      <c r="B183" s="72" t="s">
        <v>1021</v>
      </c>
      <c r="C183" s="70">
        <v>1</v>
      </c>
      <c r="D183" s="70">
        <v>1</v>
      </c>
    </row>
    <row r="184" spans="2:4">
      <c r="B184" s="71" t="s">
        <v>558</v>
      </c>
      <c r="C184" s="70">
        <v>1</v>
      </c>
      <c r="D184" s="70">
        <v>1</v>
      </c>
    </row>
    <row r="185" spans="2:4">
      <c r="B185" s="72" t="s">
        <v>556</v>
      </c>
      <c r="C185" s="70">
        <v>1</v>
      </c>
      <c r="D185" s="70">
        <v>1</v>
      </c>
    </row>
    <row r="186" spans="2:4">
      <c r="B186" s="71" t="s">
        <v>809</v>
      </c>
      <c r="C186" s="70">
        <v>1</v>
      </c>
      <c r="D186" s="70">
        <v>1</v>
      </c>
    </row>
    <row r="187" spans="2:4">
      <c r="B187" s="72" t="s">
        <v>807</v>
      </c>
      <c r="C187" s="70">
        <v>1</v>
      </c>
      <c r="D187" s="70">
        <v>1</v>
      </c>
    </row>
    <row r="188" spans="2:4">
      <c r="B188" s="71" t="s">
        <v>533</v>
      </c>
      <c r="C188" s="70">
        <v>2</v>
      </c>
      <c r="D188" s="70">
        <v>2</v>
      </c>
    </row>
    <row r="189" spans="2:4">
      <c r="B189" s="72" t="s">
        <v>595</v>
      </c>
      <c r="C189" s="70">
        <v>1</v>
      </c>
      <c r="D189" s="70">
        <v>1</v>
      </c>
    </row>
    <row r="190" spans="2:4">
      <c r="B190" s="72" t="s">
        <v>544</v>
      </c>
      <c r="C190" s="70">
        <v>1</v>
      </c>
      <c r="D190" s="70">
        <v>1</v>
      </c>
    </row>
    <row r="191" spans="2:4">
      <c r="B191" s="71" t="s">
        <v>973</v>
      </c>
      <c r="C191" s="70">
        <v>1</v>
      </c>
      <c r="D191" s="70">
        <v>1</v>
      </c>
    </row>
    <row r="192" spans="2:4">
      <c r="B192" s="72" t="s">
        <v>1039</v>
      </c>
      <c r="C192" s="70">
        <v>1</v>
      </c>
      <c r="D192" s="70">
        <v>1</v>
      </c>
    </row>
    <row r="193" spans="2:4">
      <c r="B193" s="71" t="s">
        <v>671</v>
      </c>
      <c r="C193" s="70">
        <v>1</v>
      </c>
      <c r="D193" s="70">
        <v>1</v>
      </c>
    </row>
    <row r="194" spans="2:4">
      <c r="B194" s="72" t="s">
        <v>676</v>
      </c>
      <c r="C194" s="70">
        <v>1</v>
      </c>
      <c r="D194" s="70">
        <v>1</v>
      </c>
    </row>
    <row r="195" spans="2:4">
      <c r="B195" s="71" t="s">
        <v>966</v>
      </c>
      <c r="C195" s="70">
        <v>1</v>
      </c>
      <c r="D195" s="70">
        <v>1</v>
      </c>
    </row>
    <row r="196" spans="2:4">
      <c r="B196" s="72" t="s">
        <v>964</v>
      </c>
      <c r="C196" s="70">
        <v>1</v>
      </c>
      <c r="D196" s="70">
        <v>1</v>
      </c>
    </row>
    <row r="197" spans="2:4">
      <c r="B197" s="71" t="s">
        <v>790</v>
      </c>
      <c r="C197" s="70">
        <v>1</v>
      </c>
      <c r="D197" s="70">
        <v>1</v>
      </c>
    </row>
    <row r="198" spans="2:4">
      <c r="B198" s="72" t="s">
        <v>788</v>
      </c>
      <c r="C198" s="70">
        <v>1</v>
      </c>
      <c r="D198" s="70">
        <v>1</v>
      </c>
    </row>
    <row r="199" spans="2:4">
      <c r="B199" s="71" t="s">
        <v>72</v>
      </c>
      <c r="C199" s="70">
        <v>8</v>
      </c>
      <c r="D199" s="70">
        <v>8</v>
      </c>
    </row>
    <row r="200" spans="2:4">
      <c r="B200" s="72" t="s">
        <v>1765</v>
      </c>
      <c r="C200" s="70">
        <v>1</v>
      </c>
      <c r="D200" s="70">
        <v>1</v>
      </c>
    </row>
    <row r="201" spans="2:4">
      <c r="B201" s="72" t="s">
        <v>1736</v>
      </c>
      <c r="C201" s="70">
        <v>1</v>
      </c>
      <c r="D201" s="70">
        <v>1</v>
      </c>
    </row>
    <row r="202" spans="2:4">
      <c r="B202" s="72" t="s">
        <v>1759</v>
      </c>
      <c r="C202" s="70">
        <v>1</v>
      </c>
      <c r="D202" s="70">
        <v>1</v>
      </c>
    </row>
    <row r="203" spans="2:4">
      <c r="B203" s="72" t="s">
        <v>732</v>
      </c>
      <c r="C203" s="70">
        <v>1</v>
      </c>
      <c r="D203" s="70">
        <v>1</v>
      </c>
    </row>
    <row r="204" spans="2:4">
      <c r="B204" s="72" t="s">
        <v>769</v>
      </c>
      <c r="C204" s="70">
        <v>1</v>
      </c>
      <c r="D204" s="70">
        <v>1</v>
      </c>
    </row>
    <row r="205" spans="2:4">
      <c r="B205" s="72" t="s">
        <v>726</v>
      </c>
      <c r="C205" s="70">
        <v>1</v>
      </c>
      <c r="D205" s="70">
        <v>1</v>
      </c>
    </row>
    <row r="206" spans="2:4">
      <c r="B206" s="72" t="s">
        <v>694</v>
      </c>
      <c r="C206" s="70">
        <v>1</v>
      </c>
      <c r="D206" s="70">
        <v>1</v>
      </c>
    </row>
    <row r="207" spans="2:4">
      <c r="B207" s="72" t="s">
        <v>801</v>
      </c>
      <c r="C207" s="70">
        <v>1</v>
      </c>
      <c r="D207" s="70">
        <v>1</v>
      </c>
    </row>
    <row r="208" spans="2:4">
      <c r="B208" s="71" t="s">
        <v>908</v>
      </c>
      <c r="C208" s="70">
        <v>1</v>
      </c>
      <c r="D208" s="70">
        <v>1</v>
      </c>
    </row>
    <row r="209" spans="2:4">
      <c r="B209" s="72" t="s">
        <v>906</v>
      </c>
      <c r="C209" s="70">
        <v>1</v>
      </c>
      <c r="D209" s="70">
        <v>1</v>
      </c>
    </row>
    <row r="210" spans="2:4">
      <c r="B210" s="71" t="s">
        <v>1488</v>
      </c>
      <c r="C210" s="70">
        <v>1</v>
      </c>
      <c r="D210" s="70">
        <v>1</v>
      </c>
    </row>
    <row r="211" spans="2:4">
      <c r="B211" s="72" t="s">
        <v>1486</v>
      </c>
      <c r="C211" s="70">
        <v>1</v>
      </c>
      <c r="D211" s="70">
        <v>1</v>
      </c>
    </row>
    <row r="212" spans="2:4">
      <c r="B212" s="71" t="s">
        <v>915</v>
      </c>
      <c r="C212" s="70">
        <v>1</v>
      </c>
      <c r="D212" s="70">
        <v>1</v>
      </c>
    </row>
    <row r="213" spans="2:4">
      <c r="B213" s="72" t="s">
        <v>913</v>
      </c>
      <c r="C213" s="70">
        <v>1</v>
      </c>
      <c r="D213" s="70">
        <v>1</v>
      </c>
    </row>
    <row r="214" spans="2:4">
      <c r="B214" s="18" t="s">
        <v>95</v>
      </c>
      <c r="C214" s="70">
        <v>114</v>
      </c>
      <c r="D214" s="70">
        <v>114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B840-43A2-4967-8C91-7630728C2E8C}">
  <sheetPr filterMode="1">
    <tabColor theme="7" tint="0.79998168889431442"/>
  </sheetPr>
  <dimension ref="A1:AA281"/>
  <sheetViews>
    <sheetView workbookViewId="0">
      <selection activeCell="G1" sqref="G1"/>
    </sheetView>
  </sheetViews>
  <sheetFormatPr defaultRowHeight="15"/>
  <cols>
    <col min="2" max="2" width="33.28515625" customWidth="1"/>
    <col min="16" max="16" width="15.28515625" customWidth="1"/>
    <col min="22" max="22" width="18.28515625" bestFit="1" customWidth="1"/>
  </cols>
  <sheetData>
    <row r="1" spans="1:27" ht="18.75">
      <c r="A1" s="61" t="s">
        <v>2071</v>
      </c>
      <c r="B1" s="14"/>
      <c r="F1" t="s">
        <v>2086</v>
      </c>
      <c r="G1" t="s">
        <v>2087</v>
      </c>
    </row>
    <row r="2" spans="1:27">
      <c r="A2" s="14"/>
      <c r="B2" s="14" t="s">
        <v>2072</v>
      </c>
      <c r="G2" s="13" t="s">
        <v>75</v>
      </c>
    </row>
    <row r="4" spans="1:27">
      <c r="A4" s="15" t="s">
        <v>158</v>
      </c>
      <c r="B4" s="57" t="s">
        <v>159</v>
      </c>
      <c r="C4" s="15" t="s">
        <v>160</v>
      </c>
      <c r="D4" s="15" t="s">
        <v>161</v>
      </c>
      <c r="E4" s="15" t="s">
        <v>162</v>
      </c>
      <c r="F4" s="15" t="s">
        <v>163</v>
      </c>
      <c r="G4" s="57" t="s">
        <v>164</v>
      </c>
      <c r="H4" s="15" t="s">
        <v>165</v>
      </c>
      <c r="I4" s="15" t="s">
        <v>166</v>
      </c>
      <c r="J4" s="15" t="s">
        <v>167</v>
      </c>
      <c r="K4" s="15" t="s">
        <v>168</v>
      </c>
      <c r="L4" s="15" t="s">
        <v>169</v>
      </c>
      <c r="M4" s="15" t="s">
        <v>170</v>
      </c>
      <c r="N4" s="15" t="s">
        <v>171</v>
      </c>
      <c r="O4" s="15" t="s">
        <v>172</v>
      </c>
      <c r="P4" s="57" t="s">
        <v>173</v>
      </c>
      <c r="Q4" s="15" t="s">
        <v>174</v>
      </c>
      <c r="R4" s="15" t="s">
        <v>175</v>
      </c>
      <c r="S4" s="15" t="s">
        <v>176</v>
      </c>
      <c r="T4" s="57" t="s">
        <v>177</v>
      </c>
      <c r="U4" s="15" t="s">
        <v>178</v>
      </c>
      <c r="V4" s="15" t="s">
        <v>88</v>
      </c>
      <c r="W4" s="15" t="s">
        <v>179</v>
      </c>
      <c r="X4" s="15" t="s">
        <v>2065</v>
      </c>
      <c r="Y4" s="15" t="s">
        <v>2066</v>
      </c>
      <c r="Z4" s="15" t="s">
        <v>2067</v>
      </c>
      <c r="AA4" s="15" t="s">
        <v>2068</v>
      </c>
    </row>
    <row r="5" spans="1:27" hidden="1">
      <c r="A5">
        <v>73732737</v>
      </c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s="56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185</v>
      </c>
      <c r="N5" t="s">
        <v>186</v>
      </c>
      <c r="O5">
        <v>538795</v>
      </c>
      <c r="P5" t="s">
        <v>187</v>
      </c>
      <c r="Q5" t="s">
        <v>188</v>
      </c>
      <c r="R5" t="s">
        <v>189</v>
      </c>
      <c r="S5">
        <v>420777490746</v>
      </c>
      <c r="T5" t="s">
        <v>190</v>
      </c>
      <c r="U5" t="s">
        <v>191</v>
      </c>
      <c r="V5" t="s">
        <v>98</v>
      </c>
      <c r="W5" t="s">
        <v>97</v>
      </c>
      <c r="X5">
        <f>+VLOOKUP(O5,[1]DATA!$B$37:$AW$170,48,0)</f>
        <v>632</v>
      </c>
    </row>
    <row r="6" spans="1:27" hidden="1">
      <c r="A6">
        <v>60611391</v>
      </c>
      <c r="B6" t="s">
        <v>192</v>
      </c>
      <c r="C6" t="s">
        <v>181</v>
      </c>
      <c r="D6" t="s">
        <v>182</v>
      </c>
      <c r="E6" t="s">
        <v>183</v>
      </c>
      <c r="F6" t="s">
        <v>184</v>
      </c>
      <c r="G6" s="56" t="s">
        <v>185</v>
      </c>
      <c r="H6" t="s">
        <v>185</v>
      </c>
      <c r="I6" t="s">
        <v>185</v>
      </c>
      <c r="J6" t="s">
        <v>185</v>
      </c>
      <c r="K6" t="s">
        <v>185</v>
      </c>
      <c r="L6" t="s">
        <v>185</v>
      </c>
      <c r="M6" t="s">
        <v>185</v>
      </c>
      <c r="N6" t="s">
        <v>193</v>
      </c>
      <c r="O6">
        <v>554553</v>
      </c>
      <c r="P6" t="s">
        <v>194</v>
      </c>
      <c r="Q6" t="s">
        <v>195</v>
      </c>
      <c r="R6" t="s">
        <v>196</v>
      </c>
      <c r="S6">
        <v>420603195991</v>
      </c>
      <c r="T6" t="s">
        <v>197</v>
      </c>
      <c r="U6" t="s">
        <v>198</v>
      </c>
      <c r="V6" t="s">
        <v>98</v>
      </c>
      <c r="W6" t="s">
        <v>97</v>
      </c>
      <c r="X6">
        <f>+VLOOKUP(O6,[1]DATA!$B$37:$AW$170,48,0)</f>
        <v>2070</v>
      </c>
    </row>
    <row r="7" spans="1:27">
      <c r="A7">
        <v>60611405</v>
      </c>
      <c r="B7" t="s">
        <v>199</v>
      </c>
      <c r="C7" t="s">
        <v>181</v>
      </c>
      <c r="D7" t="s">
        <v>182</v>
      </c>
      <c r="E7" t="s">
        <v>183</v>
      </c>
      <c r="F7" t="s">
        <v>185</v>
      </c>
      <c r="G7" s="55" t="s">
        <v>184</v>
      </c>
      <c r="H7" t="s">
        <v>185</v>
      </c>
      <c r="I7" t="s">
        <v>185</v>
      </c>
      <c r="J7" t="s">
        <v>185</v>
      </c>
      <c r="K7" t="s">
        <v>185</v>
      </c>
      <c r="L7" t="s">
        <v>185</v>
      </c>
      <c r="M7" t="s">
        <v>185</v>
      </c>
      <c r="N7" t="s">
        <v>200</v>
      </c>
      <c r="O7">
        <v>554553</v>
      </c>
      <c r="P7" t="s">
        <v>194</v>
      </c>
      <c r="Q7" t="s">
        <v>201</v>
      </c>
      <c r="R7" t="s">
        <v>202</v>
      </c>
      <c r="S7">
        <v>420354599959</v>
      </c>
      <c r="T7" t="s">
        <v>203</v>
      </c>
      <c r="U7" t="s">
        <v>204</v>
      </c>
      <c r="V7" t="s">
        <v>98</v>
      </c>
      <c r="W7" t="s">
        <v>97</v>
      </c>
      <c r="X7">
        <f>+VLOOKUP(O7,[1]DATA!$B$37:$AW$170,48,0)</f>
        <v>2070</v>
      </c>
    </row>
    <row r="8" spans="1:27">
      <c r="A8">
        <v>70976490</v>
      </c>
      <c r="B8" t="s">
        <v>205</v>
      </c>
      <c r="C8" t="s">
        <v>181</v>
      </c>
      <c r="D8" t="s">
        <v>182</v>
      </c>
      <c r="E8" t="s">
        <v>183</v>
      </c>
      <c r="F8" t="s">
        <v>184</v>
      </c>
      <c r="G8" s="55" t="s">
        <v>184</v>
      </c>
      <c r="H8" t="s">
        <v>185</v>
      </c>
      <c r="I8" t="s">
        <v>185</v>
      </c>
      <c r="J8" t="s">
        <v>185</v>
      </c>
      <c r="K8" t="s">
        <v>185</v>
      </c>
      <c r="L8" t="s">
        <v>185</v>
      </c>
      <c r="M8" t="s">
        <v>185</v>
      </c>
      <c r="N8" t="s">
        <v>206</v>
      </c>
      <c r="O8">
        <v>554499</v>
      </c>
      <c r="P8" t="s">
        <v>66</v>
      </c>
      <c r="Q8" t="s">
        <v>207</v>
      </c>
      <c r="R8" t="s">
        <v>208</v>
      </c>
      <c r="S8">
        <v>420354525610</v>
      </c>
      <c r="T8" t="s">
        <v>209</v>
      </c>
      <c r="U8" t="s">
        <v>210</v>
      </c>
      <c r="V8" t="s">
        <v>98</v>
      </c>
      <c r="W8" t="s">
        <v>97</v>
      </c>
      <c r="X8">
        <f>+VLOOKUP(O8,[1]DATA!$B$37:$AW$170,48,0)</f>
        <v>12683</v>
      </c>
    </row>
    <row r="9" spans="1:27">
      <c r="A9">
        <v>68781580</v>
      </c>
      <c r="B9" t="s">
        <v>211</v>
      </c>
      <c r="C9" t="s">
        <v>181</v>
      </c>
      <c r="D9" t="s">
        <v>182</v>
      </c>
      <c r="E9" t="s">
        <v>183</v>
      </c>
      <c r="F9" t="s">
        <v>185</v>
      </c>
      <c r="G9" s="55" t="s">
        <v>184</v>
      </c>
      <c r="H9" t="s">
        <v>184</v>
      </c>
      <c r="I9" t="s">
        <v>185</v>
      </c>
      <c r="J9" t="s">
        <v>185</v>
      </c>
      <c r="K9" t="s">
        <v>185</v>
      </c>
      <c r="L9" t="s">
        <v>185</v>
      </c>
      <c r="M9" t="s">
        <v>185</v>
      </c>
      <c r="N9" t="s">
        <v>212</v>
      </c>
      <c r="O9">
        <v>554499</v>
      </c>
      <c r="P9" t="s">
        <v>66</v>
      </c>
      <c r="Q9" t="s">
        <v>213</v>
      </c>
      <c r="R9" t="s">
        <v>214</v>
      </c>
      <c r="S9">
        <v>420354525270</v>
      </c>
      <c r="T9" t="s">
        <v>215</v>
      </c>
      <c r="U9" t="s">
        <v>216</v>
      </c>
      <c r="V9" t="s">
        <v>98</v>
      </c>
      <c r="W9" t="s">
        <v>97</v>
      </c>
      <c r="X9">
        <f>+VLOOKUP(O9,[1]DATA!$B$37:$AW$170,48,0)</f>
        <v>12683</v>
      </c>
    </row>
    <row r="10" spans="1:27" hidden="1">
      <c r="A10">
        <v>47720964</v>
      </c>
      <c r="B10" t="s">
        <v>217</v>
      </c>
      <c r="C10" t="s">
        <v>181</v>
      </c>
      <c r="D10" t="s">
        <v>182</v>
      </c>
      <c r="E10" t="s">
        <v>183</v>
      </c>
      <c r="F10" t="s">
        <v>185</v>
      </c>
      <c r="G10" s="56" t="s">
        <v>185</v>
      </c>
      <c r="H10" t="s">
        <v>185</v>
      </c>
      <c r="I10" t="s">
        <v>185</v>
      </c>
      <c r="J10" t="s">
        <v>185</v>
      </c>
      <c r="K10" t="s">
        <v>184</v>
      </c>
      <c r="L10" t="s">
        <v>185</v>
      </c>
      <c r="M10" t="s">
        <v>185</v>
      </c>
      <c r="N10" t="s">
        <v>218</v>
      </c>
      <c r="O10">
        <v>554499</v>
      </c>
      <c r="P10" t="s">
        <v>66</v>
      </c>
      <c r="Q10" t="s">
        <v>219</v>
      </c>
      <c r="R10" t="s">
        <v>220</v>
      </c>
      <c r="S10">
        <v>420354525015</v>
      </c>
      <c r="T10" t="s">
        <v>221</v>
      </c>
      <c r="U10" t="s">
        <v>222</v>
      </c>
      <c r="V10" t="s">
        <v>98</v>
      </c>
      <c r="W10" t="s">
        <v>97</v>
      </c>
      <c r="X10">
        <f>+VLOOKUP(O10,[1]DATA!$B$37:$AW$170,48,0)</f>
        <v>12683</v>
      </c>
    </row>
    <row r="11" spans="1:27" hidden="1">
      <c r="A11">
        <v>70976431</v>
      </c>
      <c r="B11" t="s">
        <v>223</v>
      </c>
      <c r="C11" t="s">
        <v>181</v>
      </c>
      <c r="D11" t="s">
        <v>182</v>
      </c>
      <c r="E11" t="s">
        <v>183</v>
      </c>
      <c r="F11" t="s">
        <v>184</v>
      </c>
      <c r="G11" s="56" t="s">
        <v>185</v>
      </c>
      <c r="H11" t="s">
        <v>185</v>
      </c>
      <c r="I11" t="s">
        <v>185</v>
      </c>
      <c r="J11" t="s">
        <v>185</v>
      </c>
      <c r="K11" t="s">
        <v>185</v>
      </c>
      <c r="L11" t="s">
        <v>185</v>
      </c>
      <c r="M11" t="s">
        <v>185</v>
      </c>
      <c r="N11" t="s">
        <v>224</v>
      </c>
      <c r="O11">
        <v>554499</v>
      </c>
      <c r="P11" t="s">
        <v>66</v>
      </c>
      <c r="Q11" t="s">
        <v>225</v>
      </c>
      <c r="R11" t="s">
        <v>226</v>
      </c>
      <c r="S11">
        <v>420354525988</v>
      </c>
      <c r="T11" t="s">
        <v>227</v>
      </c>
      <c r="U11" t="s">
        <v>228</v>
      </c>
      <c r="V11" t="s">
        <v>98</v>
      </c>
      <c r="W11" t="s">
        <v>97</v>
      </c>
      <c r="X11">
        <f>+VLOOKUP(O11,[1]DATA!$B$37:$AW$170,48,0)</f>
        <v>12683</v>
      </c>
    </row>
    <row r="12" spans="1:27">
      <c r="A12">
        <v>70976473</v>
      </c>
      <c r="B12" t="s">
        <v>229</v>
      </c>
      <c r="C12" t="s">
        <v>181</v>
      </c>
      <c r="D12" t="s">
        <v>182</v>
      </c>
      <c r="E12" t="s">
        <v>183</v>
      </c>
      <c r="F12" t="s">
        <v>185</v>
      </c>
      <c r="G12" s="55" t="s">
        <v>184</v>
      </c>
      <c r="H12" t="s">
        <v>185</v>
      </c>
      <c r="I12" t="s">
        <v>185</v>
      </c>
      <c r="J12" t="s">
        <v>185</v>
      </c>
      <c r="K12" t="s">
        <v>185</v>
      </c>
      <c r="L12" t="s">
        <v>185</v>
      </c>
      <c r="M12" t="s">
        <v>185</v>
      </c>
      <c r="N12" t="s">
        <v>230</v>
      </c>
      <c r="O12">
        <v>554499</v>
      </c>
      <c r="P12" t="s">
        <v>66</v>
      </c>
      <c r="Q12" t="s">
        <v>231</v>
      </c>
      <c r="R12" t="s">
        <v>232</v>
      </c>
      <c r="S12">
        <v>420354525996</v>
      </c>
      <c r="T12" t="s">
        <v>233</v>
      </c>
      <c r="U12" t="s">
        <v>234</v>
      </c>
      <c r="V12" t="s">
        <v>98</v>
      </c>
      <c r="W12" t="s">
        <v>97</v>
      </c>
      <c r="X12">
        <f>+VLOOKUP(O12,[1]DATA!$B$37:$AW$170,48,0)</f>
        <v>12683</v>
      </c>
    </row>
    <row r="13" spans="1:27" hidden="1">
      <c r="A13">
        <v>70976457</v>
      </c>
      <c r="B13" t="s">
        <v>235</v>
      </c>
      <c r="C13" t="s">
        <v>181</v>
      </c>
      <c r="D13" t="s">
        <v>182</v>
      </c>
      <c r="E13" t="s">
        <v>183</v>
      </c>
      <c r="F13" t="s">
        <v>184</v>
      </c>
      <c r="G13" s="56" t="s">
        <v>185</v>
      </c>
      <c r="H13" t="s">
        <v>185</v>
      </c>
      <c r="I13" t="s">
        <v>185</v>
      </c>
      <c r="J13" t="s">
        <v>185</v>
      </c>
      <c r="K13" t="s">
        <v>185</v>
      </c>
      <c r="L13" t="s">
        <v>185</v>
      </c>
      <c r="M13" t="s">
        <v>185</v>
      </c>
      <c r="N13" t="s">
        <v>236</v>
      </c>
      <c r="O13">
        <v>554499</v>
      </c>
      <c r="P13" t="s">
        <v>66</v>
      </c>
      <c r="Q13" t="s">
        <v>237</v>
      </c>
      <c r="R13" t="s">
        <v>238</v>
      </c>
      <c r="S13">
        <v>420354526128</v>
      </c>
      <c r="T13" t="s">
        <v>239</v>
      </c>
      <c r="U13" t="s">
        <v>240</v>
      </c>
      <c r="V13" t="s">
        <v>98</v>
      </c>
      <c r="W13" t="s">
        <v>97</v>
      </c>
      <c r="X13">
        <f>+VLOOKUP(O13,[1]DATA!$B$37:$AW$170,48,0)</f>
        <v>12683</v>
      </c>
    </row>
    <row r="14" spans="1:27" hidden="1">
      <c r="A14">
        <v>70978239</v>
      </c>
      <c r="B14" t="s">
        <v>241</v>
      </c>
      <c r="C14" t="s">
        <v>181</v>
      </c>
      <c r="D14" t="s">
        <v>182</v>
      </c>
      <c r="E14" t="s">
        <v>183</v>
      </c>
      <c r="F14" t="s">
        <v>185</v>
      </c>
      <c r="G14" s="56" t="s">
        <v>185</v>
      </c>
      <c r="H14" t="s">
        <v>185</v>
      </c>
      <c r="I14" t="s">
        <v>185</v>
      </c>
      <c r="J14" t="s">
        <v>185</v>
      </c>
      <c r="K14" t="s">
        <v>185</v>
      </c>
      <c r="L14" t="s">
        <v>185</v>
      </c>
      <c r="M14" t="s">
        <v>184</v>
      </c>
      <c r="N14" t="s">
        <v>242</v>
      </c>
      <c r="O14">
        <v>554499</v>
      </c>
      <c r="P14" t="s">
        <v>66</v>
      </c>
      <c r="Q14" t="s">
        <v>243</v>
      </c>
      <c r="R14" t="s">
        <v>244</v>
      </c>
      <c r="S14">
        <v>420354525816</v>
      </c>
      <c r="T14" t="s">
        <v>245</v>
      </c>
      <c r="U14" t="s">
        <v>246</v>
      </c>
      <c r="V14" t="s">
        <v>98</v>
      </c>
      <c r="W14" t="s">
        <v>97</v>
      </c>
      <c r="X14">
        <f>+VLOOKUP(O14,[1]DATA!$B$37:$AW$170,48,0)</f>
        <v>12683</v>
      </c>
    </row>
    <row r="15" spans="1:27" hidden="1">
      <c r="A15">
        <v>47722363</v>
      </c>
      <c r="B15" t="s">
        <v>247</v>
      </c>
      <c r="C15" t="s">
        <v>181</v>
      </c>
      <c r="D15" t="s">
        <v>182</v>
      </c>
      <c r="E15" t="s">
        <v>183</v>
      </c>
      <c r="F15" t="s">
        <v>185</v>
      </c>
      <c r="G15" s="56" t="s">
        <v>185</v>
      </c>
      <c r="H15" t="s">
        <v>185</v>
      </c>
      <c r="I15" t="s">
        <v>185</v>
      </c>
      <c r="J15" t="s">
        <v>185</v>
      </c>
      <c r="K15" t="s">
        <v>185</v>
      </c>
      <c r="L15" t="s">
        <v>184</v>
      </c>
      <c r="M15" t="s">
        <v>185</v>
      </c>
      <c r="N15" t="s">
        <v>248</v>
      </c>
      <c r="O15">
        <v>554499</v>
      </c>
      <c r="P15" t="s">
        <v>66</v>
      </c>
      <c r="Q15" t="s">
        <v>249</v>
      </c>
      <c r="R15" t="s">
        <v>250</v>
      </c>
      <c r="S15">
        <v>420354525503</v>
      </c>
      <c r="T15" t="s">
        <v>251</v>
      </c>
      <c r="U15" t="s">
        <v>252</v>
      </c>
      <c r="V15" t="s">
        <v>98</v>
      </c>
      <c r="W15" t="s">
        <v>97</v>
      </c>
      <c r="X15">
        <f>+VLOOKUP(O15,[1]DATA!$B$37:$AW$170,48,0)</f>
        <v>12683</v>
      </c>
    </row>
    <row r="16" spans="1:27" hidden="1">
      <c r="A16">
        <v>47722801</v>
      </c>
      <c r="B16" t="s">
        <v>253</v>
      </c>
      <c r="C16" t="s">
        <v>181</v>
      </c>
      <c r="D16" t="s">
        <v>182</v>
      </c>
      <c r="E16" t="s">
        <v>183</v>
      </c>
      <c r="F16" t="s">
        <v>184</v>
      </c>
      <c r="G16" s="56" t="s">
        <v>185</v>
      </c>
      <c r="H16" t="s">
        <v>185</v>
      </c>
      <c r="I16" t="s">
        <v>185</v>
      </c>
      <c r="J16" t="s">
        <v>185</v>
      </c>
      <c r="K16" t="s">
        <v>185</v>
      </c>
      <c r="L16" t="s">
        <v>185</v>
      </c>
      <c r="M16" t="s">
        <v>185</v>
      </c>
      <c r="N16" t="s">
        <v>254</v>
      </c>
      <c r="O16">
        <v>554499</v>
      </c>
      <c r="P16" t="s">
        <v>66</v>
      </c>
      <c r="Q16" t="s">
        <v>255</v>
      </c>
      <c r="R16" t="s">
        <v>256</v>
      </c>
      <c r="S16">
        <v>420354525686</v>
      </c>
      <c r="T16" t="s">
        <v>257</v>
      </c>
      <c r="U16" t="s">
        <v>258</v>
      </c>
      <c r="V16" t="s">
        <v>98</v>
      </c>
      <c r="W16" t="s">
        <v>97</v>
      </c>
      <c r="X16">
        <f>+VLOOKUP(O16,[1]DATA!$B$37:$AW$170,48,0)</f>
        <v>12683</v>
      </c>
    </row>
    <row r="17" spans="1:24">
      <c r="A17">
        <v>70976481</v>
      </c>
      <c r="B17" t="s">
        <v>259</v>
      </c>
      <c r="C17" t="s">
        <v>181</v>
      </c>
      <c r="D17" t="s">
        <v>182</v>
      </c>
      <c r="E17" t="s">
        <v>183</v>
      </c>
      <c r="F17" t="s">
        <v>185</v>
      </c>
      <c r="G17" s="55" t="s">
        <v>184</v>
      </c>
      <c r="H17" t="s">
        <v>185</v>
      </c>
      <c r="I17" t="s">
        <v>185</v>
      </c>
      <c r="J17" t="s">
        <v>185</v>
      </c>
      <c r="K17" t="s">
        <v>185</v>
      </c>
      <c r="L17" t="s">
        <v>185</v>
      </c>
      <c r="M17" t="s">
        <v>185</v>
      </c>
      <c r="N17" t="s">
        <v>260</v>
      </c>
      <c r="O17">
        <v>554499</v>
      </c>
      <c r="P17" t="s">
        <v>66</v>
      </c>
      <c r="Q17" t="s">
        <v>261</v>
      </c>
      <c r="R17" t="s">
        <v>262</v>
      </c>
      <c r="S17">
        <v>420778485394</v>
      </c>
      <c r="T17" t="s">
        <v>263</v>
      </c>
      <c r="U17" t="s">
        <v>264</v>
      </c>
      <c r="V17" t="s">
        <v>98</v>
      </c>
      <c r="W17" t="s">
        <v>97</v>
      </c>
      <c r="X17">
        <f>+VLOOKUP(O17,[1]DATA!$B$37:$AW$170,48,0)</f>
        <v>12683</v>
      </c>
    </row>
    <row r="18" spans="1:24">
      <c r="A18">
        <v>75006235</v>
      </c>
      <c r="B18" t="s">
        <v>265</v>
      </c>
      <c r="C18" t="s">
        <v>181</v>
      </c>
      <c r="D18" t="s">
        <v>182</v>
      </c>
      <c r="E18" t="s">
        <v>183</v>
      </c>
      <c r="F18" t="s">
        <v>184</v>
      </c>
      <c r="G18" s="55" t="s">
        <v>184</v>
      </c>
      <c r="H18" t="s">
        <v>185</v>
      </c>
      <c r="I18" t="s">
        <v>185</v>
      </c>
      <c r="J18" t="s">
        <v>185</v>
      </c>
      <c r="K18" t="s">
        <v>185</v>
      </c>
      <c r="L18" t="s">
        <v>185</v>
      </c>
      <c r="M18" t="s">
        <v>185</v>
      </c>
      <c r="N18" t="s">
        <v>266</v>
      </c>
      <c r="O18">
        <v>554618</v>
      </c>
      <c r="P18" t="s">
        <v>267</v>
      </c>
      <c r="Q18" t="s">
        <v>268</v>
      </c>
      <c r="R18" t="s">
        <v>269</v>
      </c>
      <c r="S18">
        <v>420776240394</v>
      </c>
      <c r="T18" t="s">
        <v>270</v>
      </c>
      <c r="U18" t="s">
        <v>271</v>
      </c>
      <c r="V18" t="s">
        <v>99</v>
      </c>
      <c r="W18" t="s">
        <v>97</v>
      </c>
      <c r="X18">
        <f>+VLOOKUP(O18,[1]DATA!$B$37:$AW$170,48,0)</f>
        <v>817</v>
      </c>
    </row>
    <row r="19" spans="1:24">
      <c r="A19">
        <v>75010895</v>
      </c>
      <c r="B19" t="s">
        <v>272</v>
      </c>
      <c r="C19" t="s">
        <v>181</v>
      </c>
      <c r="D19" t="s">
        <v>182</v>
      </c>
      <c r="E19" t="s">
        <v>183</v>
      </c>
      <c r="F19" t="s">
        <v>184</v>
      </c>
      <c r="G19" s="55" t="s">
        <v>184</v>
      </c>
      <c r="H19" t="s">
        <v>185</v>
      </c>
      <c r="I19" t="s">
        <v>185</v>
      </c>
      <c r="J19" t="s">
        <v>185</v>
      </c>
      <c r="K19" t="s">
        <v>185</v>
      </c>
      <c r="L19" t="s">
        <v>185</v>
      </c>
      <c r="M19" t="s">
        <v>185</v>
      </c>
      <c r="N19" t="s">
        <v>273</v>
      </c>
      <c r="O19">
        <v>554545</v>
      </c>
      <c r="P19" t="s">
        <v>274</v>
      </c>
      <c r="Q19" t="s">
        <v>275</v>
      </c>
      <c r="R19" t="s">
        <v>276</v>
      </c>
      <c r="S19">
        <v>420355335173</v>
      </c>
      <c r="T19" t="s">
        <v>277</v>
      </c>
      <c r="U19" t="s">
        <v>278</v>
      </c>
      <c r="V19" t="s">
        <v>98</v>
      </c>
      <c r="W19" t="s">
        <v>97</v>
      </c>
      <c r="X19">
        <f>+VLOOKUP(O19,[1]DATA!$B$37:$AW$170,48,0)</f>
        <v>1507</v>
      </c>
    </row>
    <row r="20" spans="1:24">
      <c r="A20">
        <v>47721006</v>
      </c>
      <c r="B20" t="s">
        <v>279</v>
      </c>
      <c r="C20" t="s">
        <v>181</v>
      </c>
      <c r="D20" t="s">
        <v>182</v>
      </c>
      <c r="E20" t="s">
        <v>183</v>
      </c>
      <c r="F20" t="s">
        <v>185</v>
      </c>
      <c r="G20" s="55" t="s">
        <v>184</v>
      </c>
      <c r="H20" t="s">
        <v>185</v>
      </c>
      <c r="I20" t="s">
        <v>185</v>
      </c>
      <c r="J20" t="s">
        <v>185</v>
      </c>
      <c r="K20" t="s">
        <v>185</v>
      </c>
      <c r="L20" t="s">
        <v>185</v>
      </c>
      <c r="M20" t="s">
        <v>185</v>
      </c>
      <c r="N20" t="s">
        <v>280</v>
      </c>
      <c r="O20">
        <v>554529</v>
      </c>
      <c r="P20" t="s">
        <v>281</v>
      </c>
      <c r="Q20" t="s">
        <v>282</v>
      </c>
      <c r="R20" t="s">
        <v>283</v>
      </c>
      <c r="S20">
        <v>420731151835</v>
      </c>
      <c r="T20" t="s">
        <v>284</v>
      </c>
      <c r="U20" t="s">
        <v>285</v>
      </c>
      <c r="V20" t="s">
        <v>99</v>
      </c>
      <c r="W20" t="s">
        <v>97</v>
      </c>
      <c r="X20">
        <f>+VLOOKUP(O20,[1]DATA!$B$37:$AW$170,48,0)</f>
        <v>5648</v>
      </c>
    </row>
    <row r="21" spans="1:24" hidden="1">
      <c r="A21">
        <v>47721880</v>
      </c>
      <c r="B21" t="s">
        <v>286</v>
      </c>
      <c r="C21" t="s">
        <v>181</v>
      </c>
      <c r="D21" t="s">
        <v>182</v>
      </c>
      <c r="E21" t="s">
        <v>183</v>
      </c>
      <c r="F21" t="s">
        <v>185</v>
      </c>
      <c r="G21" s="56" t="s">
        <v>185</v>
      </c>
      <c r="H21" t="s">
        <v>185</v>
      </c>
      <c r="I21" t="s">
        <v>185</v>
      </c>
      <c r="J21" t="s">
        <v>185</v>
      </c>
      <c r="K21" t="s">
        <v>185</v>
      </c>
      <c r="L21" t="s">
        <v>184</v>
      </c>
      <c r="M21" t="s">
        <v>184</v>
      </c>
      <c r="N21" t="s">
        <v>287</v>
      </c>
      <c r="O21">
        <v>554529</v>
      </c>
      <c r="P21" t="s">
        <v>281</v>
      </c>
      <c r="Q21" t="s">
        <v>288</v>
      </c>
      <c r="R21" t="s">
        <v>289</v>
      </c>
      <c r="S21">
        <v>420355335152</v>
      </c>
      <c r="T21" t="s">
        <v>290</v>
      </c>
      <c r="U21" t="s">
        <v>291</v>
      </c>
      <c r="V21" t="s">
        <v>99</v>
      </c>
      <c r="W21" t="s">
        <v>97</v>
      </c>
      <c r="X21">
        <f>+VLOOKUP(O21,[1]DATA!$B$37:$AW$170,48,0)</f>
        <v>5648</v>
      </c>
    </row>
    <row r="22" spans="1:24" hidden="1">
      <c r="A22">
        <v>47722797</v>
      </c>
      <c r="B22" t="s">
        <v>292</v>
      </c>
      <c r="C22" t="s">
        <v>181</v>
      </c>
      <c r="D22" t="s">
        <v>182</v>
      </c>
      <c r="E22" t="s">
        <v>183</v>
      </c>
      <c r="F22" t="s">
        <v>184</v>
      </c>
      <c r="G22" s="56" t="s">
        <v>185</v>
      </c>
      <c r="H22" t="s">
        <v>185</v>
      </c>
      <c r="I22" t="s">
        <v>185</v>
      </c>
      <c r="J22" t="s">
        <v>185</v>
      </c>
      <c r="K22" t="s">
        <v>185</v>
      </c>
      <c r="L22" t="s">
        <v>185</v>
      </c>
      <c r="M22" t="s">
        <v>185</v>
      </c>
      <c r="N22" t="s">
        <v>293</v>
      </c>
      <c r="O22">
        <v>554529</v>
      </c>
      <c r="P22" t="s">
        <v>281</v>
      </c>
      <c r="Q22" t="s">
        <v>294</v>
      </c>
      <c r="R22" t="s">
        <v>295</v>
      </c>
      <c r="S22">
        <v>420354542915</v>
      </c>
      <c r="T22" t="s">
        <v>296</v>
      </c>
      <c r="U22" t="s">
        <v>297</v>
      </c>
      <c r="V22" t="s">
        <v>99</v>
      </c>
      <c r="W22" t="s">
        <v>97</v>
      </c>
      <c r="X22">
        <f>+VLOOKUP(O22,[1]DATA!$B$37:$AW$170,48,0)</f>
        <v>5648</v>
      </c>
    </row>
    <row r="23" spans="1:24">
      <c r="A23">
        <v>71001930</v>
      </c>
      <c r="B23" t="s">
        <v>298</v>
      </c>
      <c r="C23" t="s">
        <v>181</v>
      </c>
      <c r="D23" t="s">
        <v>182</v>
      </c>
      <c r="E23" t="s">
        <v>183</v>
      </c>
      <c r="F23" t="s">
        <v>184</v>
      </c>
      <c r="G23" s="55" t="s">
        <v>184</v>
      </c>
      <c r="H23" t="s">
        <v>185</v>
      </c>
      <c r="I23" t="s">
        <v>185</v>
      </c>
      <c r="J23" t="s">
        <v>185</v>
      </c>
      <c r="K23" t="s">
        <v>185</v>
      </c>
      <c r="L23" t="s">
        <v>185</v>
      </c>
      <c r="M23" t="s">
        <v>185</v>
      </c>
      <c r="N23" t="s">
        <v>299</v>
      </c>
      <c r="O23">
        <v>554740</v>
      </c>
      <c r="P23" t="s">
        <v>300</v>
      </c>
      <c r="Q23" t="s">
        <v>301</v>
      </c>
      <c r="R23" t="s">
        <v>302</v>
      </c>
      <c r="S23">
        <v>420736481607</v>
      </c>
      <c r="T23" t="s">
        <v>303</v>
      </c>
      <c r="U23" t="s">
        <v>304</v>
      </c>
      <c r="V23" t="s">
        <v>99</v>
      </c>
      <c r="W23" t="s">
        <v>97</v>
      </c>
      <c r="X23">
        <f>+VLOOKUP(O23,[1]DATA!$B$37:$AW$170,48,0)</f>
        <v>1890</v>
      </c>
    </row>
    <row r="24" spans="1:24" hidden="1">
      <c r="A24">
        <v>60610115</v>
      </c>
      <c r="B24" t="s">
        <v>305</v>
      </c>
      <c r="C24" t="s">
        <v>181</v>
      </c>
      <c r="D24" t="s">
        <v>182</v>
      </c>
      <c r="E24" t="s">
        <v>183</v>
      </c>
      <c r="F24" t="s">
        <v>184</v>
      </c>
      <c r="G24" s="56" t="s">
        <v>185</v>
      </c>
      <c r="H24" t="s">
        <v>185</v>
      </c>
      <c r="I24" t="s">
        <v>185</v>
      </c>
      <c r="J24" t="s">
        <v>185</v>
      </c>
      <c r="K24" t="s">
        <v>185</v>
      </c>
      <c r="L24" t="s">
        <v>185</v>
      </c>
      <c r="M24" t="s">
        <v>185</v>
      </c>
      <c r="N24" t="s">
        <v>306</v>
      </c>
      <c r="O24">
        <v>554529</v>
      </c>
      <c r="P24" t="s">
        <v>281</v>
      </c>
      <c r="Q24" t="s">
        <v>307</v>
      </c>
      <c r="R24" t="s">
        <v>308</v>
      </c>
      <c r="S24">
        <v>420354542438</v>
      </c>
      <c r="T24" t="s">
        <v>309</v>
      </c>
      <c r="U24" t="s">
        <v>310</v>
      </c>
      <c r="V24" t="s">
        <v>99</v>
      </c>
      <c r="W24" t="s">
        <v>97</v>
      </c>
      <c r="X24">
        <f>+VLOOKUP(O24,[1]DATA!$B$37:$AW$170,48,0)</f>
        <v>5648</v>
      </c>
    </row>
    <row r="25" spans="1:24" hidden="1">
      <c r="A25">
        <v>47721499</v>
      </c>
      <c r="B25" t="s">
        <v>311</v>
      </c>
      <c r="C25" t="s">
        <v>181</v>
      </c>
      <c r="D25" t="s">
        <v>182</v>
      </c>
      <c r="E25" t="s">
        <v>183</v>
      </c>
      <c r="F25" t="s">
        <v>185</v>
      </c>
      <c r="G25" s="56" t="s">
        <v>185</v>
      </c>
      <c r="H25" t="s">
        <v>185</v>
      </c>
      <c r="I25" t="s">
        <v>185</v>
      </c>
      <c r="J25" t="s">
        <v>185</v>
      </c>
      <c r="K25" t="s">
        <v>184</v>
      </c>
      <c r="L25" t="s">
        <v>185</v>
      </c>
      <c r="M25" t="s">
        <v>185</v>
      </c>
      <c r="N25" t="s">
        <v>312</v>
      </c>
      <c r="O25">
        <v>554529</v>
      </c>
      <c r="P25" t="s">
        <v>281</v>
      </c>
      <c r="Q25" t="s">
        <v>313</v>
      </c>
      <c r="R25" t="s">
        <v>314</v>
      </c>
      <c r="S25">
        <v>420354542339</v>
      </c>
      <c r="T25" t="s">
        <v>315</v>
      </c>
      <c r="U25" t="s">
        <v>316</v>
      </c>
      <c r="V25" t="s">
        <v>99</v>
      </c>
      <c r="W25" t="s">
        <v>97</v>
      </c>
      <c r="X25">
        <f>+VLOOKUP(O25,[1]DATA!$B$37:$AW$170,48,0)</f>
        <v>5648</v>
      </c>
    </row>
    <row r="26" spans="1:24" hidden="1">
      <c r="A26">
        <v>70987271</v>
      </c>
      <c r="B26" t="s">
        <v>317</v>
      </c>
      <c r="C26" t="s">
        <v>181</v>
      </c>
      <c r="D26" t="s">
        <v>182</v>
      </c>
      <c r="E26" t="s">
        <v>183</v>
      </c>
      <c r="F26" t="s">
        <v>184</v>
      </c>
      <c r="G26" s="56" t="s">
        <v>185</v>
      </c>
      <c r="H26" t="s">
        <v>185</v>
      </c>
      <c r="I26" t="s">
        <v>185</v>
      </c>
      <c r="J26" t="s">
        <v>185</v>
      </c>
      <c r="K26" t="s">
        <v>185</v>
      </c>
      <c r="L26" t="s">
        <v>185</v>
      </c>
      <c r="M26" t="s">
        <v>185</v>
      </c>
      <c r="N26" t="s">
        <v>318</v>
      </c>
      <c r="O26">
        <v>554481</v>
      </c>
      <c r="P26" t="s">
        <v>67</v>
      </c>
      <c r="Q26" t="s">
        <v>319</v>
      </c>
      <c r="R26" t="s">
        <v>320</v>
      </c>
      <c r="S26">
        <v>420354430751</v>
      </c>
      <c r="T26" t="s">
        <v>321</v>
      </c>
      <c r="U26" t="s">
        <v>322</v>
      </c>
      <c r="V26" t="s">
        <v>99</v>
      </c>
      <c r="W26" t="s">
        <v>97</v>
      </c>
      <c r="X26">
        <f>+VLOOKUP(O26,[1]DATA!$B$37:$AW$170,48,0)</f>
        <v>32892</v>
      </c>
    </row>
    <row r="27" spans="1:24">
      <c r="A27">
        <v>70987211</v>
      </c>
      <c r="B27" t="s">
        <v>323</v>
      </c>
      <c r="C27" t="s">
        <v>181</v>
      </c>
      <c r="D27" t="s">
        <v>182</v>
      </c>
      <c r="E27" t="s">
        <v>183</v>
      </c>
      <c r="F27" t="s">
        <v>185</v>
      </c>
      <c r="G27" s="55" t="s">
        <v>184</v>
      </c>
      <c r="H27" t="s">
        <v>185</v>
      </c>
      <c r="I27" t="s">
        <v>185</v>
      </c>
      <c r="J27" t="s">
        <v>185</v>
      </c>
      <c r="K27" t="s">
        <v>185</v>
      </c>
      <c r="L27" t="s">
        <v>185</v>
      </c>
      <c r="M27" t="s">
        <v>185</v>
      </c>
      <c r="N27" t="s">
        <v>324</v>
      </c>
      <c r="O27">
        <v>554481</v>
      </c>
      <c r="P27" t="s">
        <v>67</v>
      </c>
      <c r="Q27" t="s">
        <v>325</v>
      </c>
      <c r="R27" t="s">
        <v>326</v>
      </c>
      <c r="S27">
        <v>420354433816</v>
      </c>
      <c r="T27" t="s">
        <v>327</v>
      </c>
      <c r="U27" t="s">
        <v>328</v>
      </c>
      <c r="V27" t="s">
        <v>99</v>
      </c>
      <c r="W27" t="s">
        <v>97</v>
      </c>
      <c r="X27">
        <f>+VLOOKUP(O27,[1]DATA!$B$37:$AW$170,48,0)</f>
        <v>32892</v>
      </c>
    </row>
    <row r="28" spans="1:24" hidden="1">
      <c r="A28">
        <v>47723475</v>
      </c>
      <c r="B28" t="s">
        <v>329</v>
      </c>
      <c r="C28" t="s">
        <v>181</v>
      </c>
      <c r="D28" t="s">
        <v>182</v>
      </c>
      <c r="E28" t="s">
        <v>183</v>
      </c>
      <c r="F28" t="s">
        <v>185</v>
      </c>
      <c r="G28" s="56" t="s">
        <v>185</v>
      </c>
      <c r="H28" t="s">
        <v>185</v>
      </c>
      <c r="I28" t="s">
        <v>185</v>
      </c>
      <c r="J28" t="s">
        <v>185</v>
      </c>
      <c r="K28" t="s">
        <v>185</v>
      </c>
      <c r="L28" t="s">
        <v>184</v>
      </c>
      <c r="M28" t="s">
        <v>185</v>
      </c>
      <c r="N28" t="s">
        <v>330</v>
      </c>
      <c r="O28">
        <v>554481</v>
      </c>
      <c r="P28" t="s">
        <v>67</v>
      </c>
      <c r="Q28" t="s">
        <v>331</v>
      </c>
      <c r="R28" t="s">
        <v>332</v>
      </c>
      <c r="S28">
        <v>420773762479</v>
      </c>
      <c r="T28" t="s">
        <v>333</v>
      </c>
      <c r="U28" t="s">
        <v>334</v>
      </c>
      <c r="V28" t="s">
        <v>99</v>
      </c>
      <c r="W28" t="s">
        <v>97</v>
      </c>
      <c r="X28">
        <f>+VLOOKUP(O28,[1]DATA!$B$37:$AW$170,48,0)</f>
        <v>32892</v>
      </c>
    </row>
    <row r="29" spans="1:24">
      <c r="A29">
        <v>75006561</v>
      </c>
      <c r="B29" t="s">
        <v>335</v>
      </c>
      <c r="C29" t="s">
        <v>181</v>
      </c>
      <c r="D29" t="s">
        <v>182</v>
      </c>
      <c r="E29" t="s">
        <v>183</v>
      </c>
      <c r="F29" t="s">
        <v>185</v>
      </c>
      <c r="G29" s="55" t="s">
        <v>184</v>
      </c>
      <c r="H29" t="s">
        <v>185</v>
      </c>
      <c r="I29" t="s">
        <v>185</v>
      </c>
      <c r="J29" t="s">
        <v>185</v>
      </c>
      <c r="K29" t="s">
        <v>185</v>
      </c>
      <c r="L29" t="s">
        <v>185</v>
      </c>
      <c r="M29" t="s">
        <v>185</v>
      </c>
      <c r="N29" t="s">
        <v>336</v>
      </c>
      <c r="O29">
        <v>554812</v>
      </c>
      <c r="P29" t="s">
        <v>337</v>
      </c>
      <c r="Q29" t="s">
        <v>338</v>
      </c>
      <c r="R29" t="s">
        <v>339</v>
      </c>
      <c r="S29">
        <v>420736481606</v>
      </c>
      <c r="T29" t="s">
        <v>340</v>
      </c>
      <c r="U29" t="s">
        <v>341</v>
      </c>
      <c r="V29" t="s">
        <v>99</v>
      </c>
      <c r="W29" t="s">
        <v>97</v>
      </c>
      <c r="X29">
        <f>+VLOOKUP(O29,[1]DATA!$B$37:$AW$170,48,0)</f>
        <v>1875</v>
      </c>
    </row>
    <row r="30" spans="1:24" hidden="1">
      <c r="A30">
        <v>75006570</v>
      </c>
      <c r="B30" t="s">
        <v>342</v>
      </c>
      <c r="C30" t="s">
        <v>181</v>
      </c>
      <c r="D30" t="s">
        <v>182</v>
      </c>
      <c r="E30" t="s">
        <v>183</v>
      </c>
      <c r="F30" t="s">
        <v>184</v>
      </c>
      <c r="G30" s="56" t="s">
        <v>185</v>
      </c>
      <c r="H30" t="s">
        <v>185</v>
      </c>
      <c r="I30" t="s">
        <v>185</v>
      </c>
      <c r="J30" t="s">
        <v>185</v>
      </c>
      <c r="K30" t="s">
        <v>185</v>
      </c>
      <c r="L30" t="s">
        <v>185</v>
      </c>
      <c r="M30" t="s">
        <v>185</v>
      </c>
      <c r="N30" t="s">
        <v>343</v>
      </c>
      <c r="O30">
        <v>554812</v>
      </c>
      <c r="P30" t="s">
        <v>337</v>
      </c>
      <c r="Q30" t="s">
        <v>344</v>
      </c>
      <c r="R30" t="s">
        <v>345</v>
      </c>
      <c r="S30">
        <v>420354594931</v>
      </c>
      <c r="T30" t="s">
        <v>346</v>
      </c>
      <c r="U30" t="s">
        <v>347</v>
      </c>
      <c r="V30" t="s">
        <v>99</v>
      </c>
      <c r="W30" t="s">
        <v>97</v>
      </c>
      <c r="X30">
        <f>+VLOOKUP(O30,[1]DATA!$B$37:$AW$170,48,0)</f>
        <v>1875</v>
      </c>
    </row>
    <row r="31" spans="1:24">
      <c r="A31">
        <v>70987475</v>
      </c>
      <c r="B31" t="s">
        <v>348</v>
      </c>
      <c r="C31" t="s">
        <v>181</v>
      </c>
      <c r="D31" t="s">
        <v>182</v>
      </c>
      <c r="E31" t="s">
        <v>183</v>
      </c>
      <c r="F31" t="s">
        <v>185</v>
      </c>
      <c r="G31" s="55" t="s">
        <v>184</v>
      </c>
      <c r="H31" t="s">
        <v>185</v>
      </c>
      <c r="I31" t="s">
        <v>185</v>
      </c>
      <c r="J31" t="s">
        <v>185</v>
      </c>
      <c r="K31" t="s">
        <v>185</v>
      </c>
      <c r="L31" t="s">
        <v>185</v>
      </c>
      <c r="M31" t="s">
        <v>185</v>
      </c>
      <c r="N31" t="s">
        <v>349</v>
      </c>
      <c r="O31">
        <v>554481</v>
      </c>
      <c r="P31" t="s">
        <v>67</v>
      </c>
      <c r="Q31" t="s">
        <v>350</v>
      </c>
      <c r="R31" t="s">
        <v>351</v>
      </c>
      <c r="S31">
        <v>420354422107</v>
      </c>
      <c r="T31" t="s">
        <v>352</v>
      </c>
      <c r="U31" t="s">
        <v>353</v>
      </c>
      <c r="V31" t="s">
        <v>99</v>
      </c>
      <c r="W31" t="s">
        <v>97</v>
      </c>
      <c r="X31">
        <f>+VLOOKUP(O31,[1]DATA!$B$37:$AW$170,48,0)</f>
        <v>32892</v>
      </c>
    </row>
    <row r="32" spans="1:24" hidden="1">
      <c r="A32">
        <v>47722193</v>
      </c>
      <c r="B32" t="s">
        <v>354</v>
      </c>
      <c r="C32" t="s">
        <v>181</v>
      </c>
      <c r="D32" t="s">
        <v>182</v>
      </c>
      <c r="E32" t="s">
        <v>183</v>
      </c>
      <c r="F32" t="s">
        <v>185</v>
      </c>
      <c r="G32" s="56" t="s">
        <v>185</v>
      </c>
      <c r="H32" t="s">
        <v>185</v>
      </c>
      <c r="I32" t="s">
        <v>185</v>
      </c>
      <c r="J32" t="s">
        <v>185</v>
      </c>
      <c r="K32" t="s">
        <v>184</v>
      </c>
      <c r="L32" t="s">
        <v>185</v>
      </c>
      <c r="M32" t="s">
        <v>185</v>
      </c>
      <c r="N32" t="s">
        <v>355</v>
      </c>
      <c r="O32">
        <v>554481</v>
      </c>
      <c r="P32" t="s">
        <v>67</v>
      </c>
      <c r="Q32" t="s">
        <v>356</v>
      </c>
      <c r="R32" t="s">
        <v>357</v>
      </c>
      <c r="S32">
        <v>420354422993</v>
      </c>
      <c r="T32" t="s">
        <v>358</v>
      </c>
      <c r="U32" t="s">
        <v>359</v>
      </c>
      <c r="V32" t="s">
        <v>99</v>
      </c>
      <c r="W32" t="s">
        <v>97</v>
      </c>
      <c r="X32">
        <f>+VLOOKUP(O32,[1]DATA!$B$37:$AW$170,48,0)</f>
        <v>32892</v>
      </c>
    </row>
    <row r="33" spans="1:24">
      <c r="A33">
        <v>70987181</v>
      </c>
      <c r="B33" t="s">
        <v>360</v>
      </c>
      <c r="C33" t="s">
        <v>181</v>
      </c>
      <c r="D33" t="s">
        <v>182</v>
      </c>
      <c r="E33" t="s">
        <v>183</v>
      </c>
      <c r="F33" t="s">
        <v>185</v>
      </c>
      <c r="G33" s="55" t="s">
        <v>184</v>
      </c>
      <c r="H33" t="s">
        <v>185</v>
      </c>
      <c r="I33" t="s">
        <v>185</v>
      </c>
      <c r="J33" t="s">
        <v>185</v>
      </c>
      <c r="K33" t="s">
        <v>185</v>
      </c>
      <c r="L33" t="s">
        <v>185</v>
      </c>
      <c r="M33" t="s">
        <v>185</v>
      </c>
      <c r="N33" t="s">
        <v>361</v>
      </c>
      <c r="O33">
        <v>554481</v>
      </c>
      <c r="P33" t="s">
        <v>67</v>
      </c>
      <c r="Q33" t="s">
        <v>362</v>
      </c>
      <c r="R33" t="s">
        <v>363</v>
      </c>
      <c r="S33">
        <v>420354422632</v>
      </c>
      <c r="T33" t="s">
        <v>364</v>
      </c>
      <c r="U33" t="s">
        <v>365</v>
      </c>
      <c r="V33" t="s">
        <v>99</v>
      </c>
      <c r="W33" t="s">
        <v>97</v>
      </c>
      <c r="X33">
        <f>+VLOOKUP(O33,[1]DATA!$B$37:$AW$170,48,0)</f>
        <v>32892</v>
      </c>
    </row>
    <row r="34" spans="1:24" hidden="1">
      <c r="A34">
        <v>70987327</v>
      </c>
      <c r="B34" t="s">
        <v>366</v>
      </c>
      <c r="C34" t="s">
        <v>181</v>
      </c>
      <c r="D34" t="s">
        <v>182</v>
      </c>
      <c r="E34" t="s">
        <v>183</v>
      </c>
      <c r="F34" t="s">
        <v>184</v>
      </c>
      <c r="G34" s="56" t="s">
        <v>185</v>
      </c>
      <c r="H34" t="s">
        <v>185</v>
      </c>
      <c r="I34" t="s">
        <v>185</v>
      </c>
      <c r="J34" t="s">
        <v>185</v>
      </c>
      <c r="K34" t="s">
        <v>185</v>
      </c>
      <c r="L34" t="s">
        <v>185</v>
      </c>
      <c r="M34" t="s">
        <v>185</v>
      </c>
      <c r="N34" t="s">
        <v>367</v>
      </c>
      <c r="O34">
        <v>554481</v>
      </c>
      <c r="P34" t="s">
        <v>67</v>
      </c>
      <c r="Q34" t="s">
        <v>368</v>
      </c>
      <c r="R34" t="s">
        <v>369</v>
      </c>
      <c r="S34">
        <v>420354433154</v>
      </c>
      <c r="T34" t="s">
        <v>370</v>
      </c>
      <c r="U34" t="s">
        <v>371</v>
      </c>
      <c r="V34" t="s">
        <v>99</v>
      </c>
      <c r="W34" t="s">
        <v>97</v>
      </c>
      <c r="X34">
        <f>+VLOOKUP(O34,[1]DATA!$B$37:$AW$170,48,0)</f>
        <v>32892</v>
      </c>
    </row>
    <row r="35" spans="1:24">
      <c r="A35">
        <v>70987238</v>
      </c>
      <c r="B35" t="s">
        <v>372</v>
      </c>
      <c r="C35" t="s">
        <v>181</v>
      </c>
      <c r="D35" t="s">
        <v>182</v>
      </c>
      <c r="E35" t="s">
        <v>183</v>
      </c>
      <c r="F35" t="s">
        <v>185</v>
      </c>
      <c r="G35" s="55" t="s">
        <v>184</v>
      </c>
      <c r="H35" t="s">
        <v>185</v>
      </c>
      <c r="I35" t="s">
        <v>185</v>
      </c>
      <c r="J35" t="s">
        <v>185</v>
      </c>
      <c r="K35" t="s">
        <v>185</v>
      </c>
      <c r="L35" t="s">
        <v>185</v>
      </c>
      <c r="M35" t="s">
        <v>185</v>
      </c>
      <c r="N35" t="s">
        <v>373</v>
      </c>
      <c r="O35">
        <v>554481</v>
      </c>
      <c r="P35" t="s">
        <v>67</v>
      </c>
      <c r="Q35" t="s">
        <v>374</v>
      </c>
      <c r="R35" t="s">
        <v>375</v>
      </c>
      <c r="S35">
        <v>420354422095</v>
      </c>
      <c r="T35" t="s">
        <v>376</v>
      </c>
      <c r="U35" t="s">
        <v>377</v>
      </c>
      <c r="V35" t="s">
        <v>99</v>
      </c>
      <c r="W35" t="s">
        <v>97</v>
      </c>
      <c r="X35">
        <f>+VLOOKUP(O35,[1]DATA!$B$37:$AW$170,48,0)</f>
        <v>32892</v>
      </c>
    </row>
    <row r="36" spans="1:24" hidden="1">
      <c r="A36">
        <v>70987319</v>
      </c>
      <c r="B36" t="s">
        <v>378</v>
      </c>
      <c r="C36" t="s">
        <v>181</v>
      </c>
      <c r="D36" t="s">
        <v>182</v>
      </c>
      <c r="E36" t="s">
        <v>183</v>
      </c>
      <c r="F36" t="s">
        <v>184</v>
      </c>
      <c r="G36" s="56" t="s">
        <v>185</v>
      </c>
      <c r="H36" t="s">
        <v>185</v>
      </c>
      <c r="I36" t="s">
        <v>185</v>
      </c>
      <c r="J36" t="s">
        <v>185</v>
      </c>
      <c r="K36" t="s">
        <v>185</v>
      </c>
      <c r="L36" t="s">
        <v>185</v>
      </c>
      <c r="M36" t="s">
        <v>185</v>
      </c>
      <c r="N36" t="s">
        <v>379</v>
      </c>
      <c r="O36">
        <v>554481</v>
      </c>
      <c r="P36" t="s">
        <v>67</v>
      </c>
      <c r="Q36" t="s">
        <v>380</v>
      </c>
      <c r="R36" t="s">
        <v>381</v>
      </c>
      <c r="S36">
        <v>420354430138</v>
      </c>
      <c r="T36" t="s">
        <v>382</v>
      </c>
      <c r="U36" t="s">
        <v>383</v>
      </c>
      <c r="V36" t="s">
        <v>99</v>
      </c>
      <c r="W36" t="s">
        <v>97</v>
      </c>
      <c r="X36">
        <f>+VLOOKUP(O36,[1]DATA!$B$37:$AW$170,48,0)</f>
        <v>32892</v>
      </c>
    </row>
    <row r="37" spans="1:24">
      <c r="A37">
        <v>70987459</v>
      </c>
      <c r="B37" t="s">
        <v>384</v>
      </c>
      <c r="C37" t="s">
        <v>181</v>
      </c>
      <c r="D37" t="s">
        <v>182</v>
      </c>
      <c r="E37" t="s">
        <v>183</v>
      </c>
      <c r="F37" t="s">
        <v>185</v>
      </c>
      <c r="G37" s="55" t="s">
        <v>184</v>
      </c>
      <c r="H37" t="s">
        <v>185</v>
      </c>
      <c r="I37" t="s">
        <v>185</v>
      </c>
      <c r="J37" t="s">
        <v>185</v>
      </c>
      <c r="K37" t="s">
        <v>185</v>
      </c>
      <c r="L37" t="s">
        <v>185</v>
      </c>
      <c r="M37" t="s">
        <v>185</v>
      </c>
      <c r="N37" t="s">
        <v>385</v>
      </c>
      <c r="O37">
        <v>554481</v>
      </c>
      <c r="P37" t="s">
        <v>67</v>
      </c>
      <c r="Q37" t="s">
        <v>386</v>
      </c>
      <c r="R37" t="s">
        <v>387</v>
      </c>
      <c r="S37">
        <v>420354430643</v>
      </c>
      <c r="T37" t="s">
        <v>388</v>
      </c>
      <c r="U37" t="s">
        <v>389</v>
      </c>
      <c r="V37" t="s">
        <v>99</v>
      </c>
      <c r="W37" t="s">
        <v>97</v>
      </c>
      <c r="X37">
        <f>+VLOOKUP(O37,[1]DATA!$B$37:$AW$170,48,0)</f>
        <v>32892</v>
      </c>
    </row>
    <row r="38" spans="1:24" hidden="1">
      <c r="A38">
        <v>70987149</v>
      </c>
      <c r="B38" t="s">
        <v>390</v>
      </c>
      <c r="C38" t="s">
        <v>181</v>
      </c>
      <c r="D38" t="s">
        <v>182</v>
      </c>
      <c r="E38" t="s">
        <v>183</v>
      </c>
      <c r="F38" t="s">
        <v>184</v>
      </c>
      <c r="G38" s="56" t="s">
        <v>185</v>
      </c>
      <c r="H38" t="s">
        <v>185</v>
      </c>
      <c r="I38" t="s">
        <v>185</v>
      </c>
      <c r="J38" t="s">
        <v>185</v>
      </c>
      <c r="K38" t="s">
        <v>185</v>
      </c>
      <c r="L38" t="s">
        <v>185</v>
      </c>
      <c r="M38" t="s">
        <v>185</v>
      </c>
      <c r="N38" t="s">
        <v>391</v>
      </c>
      <c r="O38">
        <v>554481</v>
      </c>
      <c r="P38" t="s">
        <v>67</v>
      </c>
      <c r="Q38" t="s">
        <v>392</v>
      </c>
      <c r="R38" t="s">
        <v>393</v>
      </c>
      <c r="S38">
        <v>420354430789</v>
      </c>
      <c r="T38" t="s">
        <v>394</v>
      </c>
      <c r="U38" t="s">
        <v>395</v>
      </c>
      <c r="V38" t="s">
        <v>99</v>
      </c>
      <c r="W38" t="s">
        <v>97</v>
      </c>
      <c r="X38">
        <f>+VLOOKUP(O38,[1]DATA!$B$37:$AW$170,48,0)</f>
        <v>32892</v>
      </c>
    </row>
    <row r="39" spans="1:24">
      <c r="A39">
        <v>70987165</v>
      </c>
      <c r="B39" t="s">
        <v>396</v>
      </c>
      <c r="C39" t="s">
        <v>181</v>
      </c>
      <c r="D39" t="s">
        <v>182</v>
      </c>
      <c r="E39" t="s">
        <v>183</v>
      </c>
      <c r="F39" t="s">
        <v>185</v>
      </c>
      <c r="G39" s="55" t="s">
        <v>184</v>
      </c>
      <c r="H39" t="s">
        <v>185</v>
      </c>
      <c r="I39" t="s">
        <v>185</v>
      </c>
      <c r="J39" t="s">
        <v>185</v>
      </c>
      <c r="K39" t="s">
        <v>185</v>
      </c>
      <c r="L39" t="s">
        <v>185</v>
      </c>
      <c r="M39" t="s">
        <v>185</v>
      </c>
      <c r="N39" t="s">
        <v>397</v>
      </c>
      <c r="O39">
        <v>554481</v>
      </c>
      <c r="P39" t="s">
        <v>67</v>
      </c>
      <c r="Q39" t="s">
        <v>398</v>
      </c>
      <c r="R39" t="s">
        <v>399</v>
      </c>
      <c r="S39">
        <v>420778441969</v>
      </c>
      <c r="T39" t="s">
        <v>400</v>
      </c>
      <c r="U39" t="s">
        <v>401</v>
      </c>
      <c r="V39" t="s">
        <v>99</v>
      </c>
      <c r="W39" t="s">
        <v>97</v>
      </c>
      <c r="X39">
        <f>+VLOOKUP(O39,[1]DATA!$B$37:$AW$170,48,0)</f>
        <v>32892</v>
      </c>
    </row>
    <row r="40" spans="1:24">
      <c r="A40">
        <v>70987441</v>
      </c>
      <c r="B40" t="s">
        <v>402</v>
      </c>
      <c r="C40" t="s">
        <v>181</v>
      </c>
      <c r="D40" t="s">
        <v>182</v>
      </c>
      <c r="E40" t="s">
        <v>183</v>
      </c>
      <c r="F40" t="s">
        <v>185</v>
      </c>
      <c r="G40" s="55" t="s">
        <v>184</v>
      </c>
      <c r="H40" t="s">
        <v>185</v>
      </c>
      <c r="I40" t="s">
        <v>185</v>
      </c>
      <c r="J40" t="s">
        <v>185</v>
      </c>
      <c r="K40" t="s">
        <v>185</v>
      </c>
      <c r="L40" t="s">
        <v>185</v>
      </c>
      <c r="M40" t="s">
        <v>185</v>
      </c>
      <c r="N40" t="s">
        <v>403</v>
      </c>
      <c r="O40">
        <v>554481</v>
      </c>
      <c r="P40" t="s">
        <v>67</v>
      </c>
      <c r="Q40" t="s">
        <v>404</v>
      </c>
      <c r="R40" t="s">
        <v>405</v>
      </c>
      <c r="S40">
        <v>420354433180</v>
      </c>
      <c r="T40" t="s">
        <v>406</v>
      </c>
      <c r="U40" t="s">
        <v>407</v>
      </c>
      <c r="V40" t="s">
        <v>99</v>
      </c>
      <c r="W40" t="s">
        <v>97</v>
      </c>
      <c r="X40">
        <f>+VLOOKUP(O40,[1]DATA!$B$37:$AW$170,48,0)</f>
        <v>32892</v>
      </c>
    </row>
    <row r="41" spans="1:24" hidden="1">
      <c r="A41">
        <v>70987432</v>
      </c>
      <c r="B41" t="s">
        <v>408</v>
      </c>
      <c r="C41" t="s">
        <v>181</v>
      </c>
      <c r="D41" t="s">
        <v>182</v>
      </c>
      <c r="E41" t="s">
        <v>183</v>
      </c>
      <c r="F41" t="s">
        <v>184</v>
      </c>
      <c r="G41" s="56" t="s">
        <v>185</v>
      </c>
      <c r="H41" t="s">
        <v>185</v>
      </c>
      <c r="I41" t="s">
        <v>185</v>
      </c>
      <c r="J41" t="s">
        <v>185</v>
      </c>
      <c r="K41" t="s">
        <v>185</v>
      </c>
      <c r="L41" t="s">
        <v>185</v>
      </c>
      <c r="M41" t="s">
        <v>185</v>
      </c>
      <c r="N41" t="s">
        <v>409</v>
      </c>
      <c r="O41">
        <v>554481</v>
      </c>
      <c r="P41" t="s">
        <v>67</v>
      </c>
      <c r="Q41" t="s">
        <v>410</v>
      </c>
      <c r="R41" t="s">
        <v>411</v>
      </c>
      <c r="S41">
        <v>420354423213</v>
      </c>
      <c r="T41" t="s">
        <v>412</v>
      </c>
      <c r="U41" t="s">
        <v>413</v>
      </c>
      <c r="V41" t="s">
        <v>99</v>
      </c>
      <c r="W41" t="s">
        <v>97</v>
      </c>
      <c r="X41">
        <f>+VLOOKUP(O41,[1]DATA!$B$37:$AW$170,48,0)</f>
        <v>32892</v>
      </c>
    </row>
    <row r="42" spans="1:24" hidden="1">
      <c r="A42">
        <v>70987301</v>
      </c>
      <c r="B42" t="s">
        <v>414</v>
      </c>
      <c r="C42" t="s">
        <v>181</v>
      </c>
      <c r="D42" t="s">
        <v>182</v>
      </c>
      <c r="E42" t="s">
        <v>183</v>
      </c>
      <c r="F42" t="s">
        <v>184</v>
      </c>
      <c r="G42" s="56" t="s">
        <v>185</v>
      </c>
      <c r="H42" t="s">
        <v>185</v>
      </c>
      <c r="I42" t="s">
        <v>185</v>
      </c>
      <c r="J42" t="s">
        <v>185</v>
      </c>
      <c r="K42" t="s">
        <v>185</v>
      </c>
      <c r="L42" t="s">
        <v>185</v>
      </c>
      <c r="M42" t="s">
        <v>185</v>
      </c>
      <c r="N42" t="s">
        <v>415</v>
      </c>
      <c r="O42">
        <v>554481</v>
      </c>
      <c r="P42" t="s">
        <v>67</v>
      </c>
      <c r="Q42" t="s">
        <v>416</v>
      </c>
      <c r="R42" t="s">
        <v>417</v>
      </c>
      <c r="S42">
        <v>420354432802</v>
      </c>
      <c r="T42" t="s">
        <v>418</v>
      </c>
      <c r="U42" t="s">
        <v>419</v>
      </c>
      <c r="V42" t="s">
        <v>99</v>
      </c>
      <c r="W42" t="s">
        <v>97</v>
      </c>
      <c r="X42">
        <f>+VLOOKUP(O42,[1]DATA!$B$37:$AW$170,48,0)</f>
        <v>32892</v>
      </c>
    </row>
    <row r="43" spans="1:24" hidden="1">
      <c r="A43">
        <v>60611456</v>
      </c>
      <c r="B43" t="s">
        <v>420</v>
      </c>
      <c r="C43" t="s">
        <v>181</v>
      </c>
      <c r="D43" t="s">
        <v>182</v>
      </c>
      <c r="E43" t="s">
        <v>183</v>
      </c>
      <c r="F43" t="s">
        <v>184</v>
      </c>
      <c r="G43" s="56" t="s">
        <v>185</v>
      </c>
      <c r="H43" t="s">
        <v>185</v>
      </c>
      <c r="I43" t="s">
        <v>185</v>
      </c>
      <c r="J43" t="s">
        <v>185</v>
      </c>
      <c r="K43" t="s">
        <v>185</v>
      </c>
      <c r="L43" t="s">
        <v>185</v>
      </c>
      <c r="M43" t="s">
        <v>185</v>
      </c>
      <c r="N43" t="s">
        <v>421</v>
      </c>
      <c r="O43">
        <v>554634</v>
      </c>
      <c r="P43" t="s">
        <v>422</v>
      </c>
      <c r="Q43" t="s">
        <v>423</v>
      </c>
      <c r="R43" t="s">
        <v>424</v>
      </c>
      <c r="S43">
        <v>420354596375</v>
      </c>
      <c r="T43" t="s">
        <v>425</v>
      </c>
      <c r="U43" t="s">
        <v>426</v>
      </c>
      <c r="V43" t="s">
        <v>99</v>
      </c>
      <c r="W43" t="s">
        <v>97</v>
      </c>
      <c r="X43">
        <f>+VLOOKUP(O43,[1]DATA!$B$37:$AW$170,48,0)</f>
        <v>2147</v>
      </c>
    </row>
    <row r="44" spans="1:24" hidden="1">
      <c r="A44">
        <v>69972745</v>
      </c>
      <c r="B44" t="s">
        <v>427</v>
      </c>
      <c r="C44" t="s">
        <v>181</v>
      </c>
      <c r="D44" t="s">
        <v>182</v>
      </c>
      <c r="E44" t="s">
        <v>183</v>
      </c>
      <c r="F44" t="s">
        <v>185</v>
      </c>
      <c r="G44" s="56" t="s">
        <v>185</v>
      </c>
      <c r="H44" t="s">
        <v>185</v>
      </c>
      <c r="I44" t="s">
        <v>185</v>
      </c>
      <c r="J44" t="s">
        <v>185</v>
      </c>
      <c r="K44" t="s">
        <v>185</v>
      </c>
      <c r="L44" t="s">
        <v>184</v>
      </c>
      <c r="M44" t="s">
        <v>185</v>
      </c>
      <c r="N44" t="s">
        <v>428</v>
      </c>
      <c r="O44">
        <v>554634</v>
      </c>
      <c r="P44" t="s">
        <v>422</v>
      </c>
      <c r="Q44" t="s">
        <v>429</v>
      </c>
      <c r="R44" t="s">
        <v>430</v>
      </c>
      <c r="S44">
        <v>420359901917</v>
      </c>
      <c r="T44" t="s">
        <v>431</v>
      </c>
      <c r="U44" t="s">
        <v>432</v>
      </c>
      <c r="V44" t="s">
        <v>99</v>
      </c>
      <c r="W44" t="s">
        <v>97</v>
      </c>
      <c r="X44">
        <f>+VLOOKUP(O44,[1]DATA!$B$37:$AW$170,48,0)</f>
        <v>2147</v>
      </c>
    </row>
    <row r="45" spans="1:24" hidden="1">
      <c r="A45">
        <v>70995788</v>
      </c>
      <c r="B45" t="s">
        <v>433</v>
      </c>
      <c r="C45" t="s">
        <v>181</v>
      </c>
      <c r="D45" t="s">
        <v>182</v>
      </c>
      <c r="E45" t="s">
        <v>183</v>
      </c>
      <c r="F45" t="s">
        <v>184</v>
      </c>
      <c r="G45" s="56" t="s">
        <v>185</v>
      </c>
      <c r="H45" t="s">
        <v>185</v>
      </c>
      <c r="I45" t="s">
        <v>185</v>
      </c>
      <c r="J45" t="s">
        <v>185</v>
      </c>
      <c r="K45" t="s">
        <v>185</v>
      </c>
      <c r="L45" t="s">
        <v>185</v>
      </c>
      <c r="M45" t="s">
        <v>185</v>
      </c>
      <c r="N45" t="s">
        <v>434</v>
      </c>
      <c r="O45">
        <v>554812</v>
      </c>
      <c r="P45" t="s">
        <v>337</v>
      </c>
      <c r="Q45" t="s">
        <v>435</v>
      </c>
      <c r="R45" t="s">
        <v>436</v>
      </c>
      <c r="S45">
        <v>420354542491</v>
      </c>
      <c r="T45" t="s">
        <v>437</v>
      </c>
      <c r="U45" t="s">
        <v>438</v>
      </c>
      <c r="V45" t="s">
        <v>99</v>
      </c>
      <c r="W45" t="s">
        <v>97</v>
      </c>
      <c r="X45">
        <f>+VLOOKUP(O45,[1]DATA!$B$37:$AW$170,48,0)</f>
        <v>1875</v>
      </c>
    </row>
    <row r="46" spans="1:24" hidden="1">
      <c r="A46">
        <v>47723629</v>
      </c>
      <c r="B46" t="s">
        <v>439</v>
      </c>
      <c r="C46" t="s">
        <v>181</v>
      </c>
      <c r="D46" t="s">
        <v>182</v>
      </c>
      <c r="E46" t="s">
        <v>183</v>
      </c>
      <c r="F46" t="s">
        <v>185</v>
      </c>
      <c r="G46" s="56" t="s">
        <v>185</v>
      </c>
      <c r="H46" t="s">
        <v>185</v>
      </c>
      <c r="I46" t="s">
        <v>185</v>
      </c>
      <c r="J46" t="s">
        <v>185</v>
      </c>
      <c r="K46" t="s">
        <v>184</v>
      </c>
      <c r="L46" t="s">
        <v>185</v>
      </c>
      <c r="M46" t="s">
        <v>185</v>
      </c>
      <c r="N46" t="s">
        <v>440</v>
      </c>
      <c r="O46">
        <v>554634</v>
      </c>
      <c r="P46" t="s">
        <v>422</v>
      </c>
      <c r="Q46" t="s">
        <v>441</v>
      </c>
      <c r="R46" t="s">
        <v>442</v>
      </c>
      <c r="S46">
        <v>420359901363</v>
      </c>
      <c r="T46" t="s">
        <v>443</v>
      </c>
      <c r="U46" t="s">
        <v>444</v>
      </c>
      <c r="V46" t="s">
        <v>99</v>
      </c>
      <c r="W46" t="s">
        <v>97</v>
      </c>
      <c r="X46">
        <f>+VLOOKUP(O46,[1]DATA!$B$37:$AW$170,48,0)</f>
        <v>2147</v>
      </c>
    </row>
    <row r="47" spans="1:24">
      <c r="A47">
        <v>60611464</v>
      </c>
      <c r="B47" t="s">
        <v>445</v>
      </c>
      <c r="C47" t="s">
        <v>181</v>
      </c>
      <c r="D47" t="s">
        <v>182</v>
      </c>
      <c r="E47" t="s">
        <v>183</v>
      </c>
      <c r="F47" t="s">
        <v>185</v>
      </c>
      <c r="G47" s="55" t="s">
        <v>184</v>
      </c>
      <c r="H47" t="s">
        <v>185</v>
      </c>
      <c r="I47" t="s">
        <v>185</v>
      </c>
      <c r="J47" t="s">
        <v>185</v>
      </c>
      <c r="K47" t="s">
        <v>185</v>
      </c>
      <c r="L47" t="s">
        <v>185</v>
      </c>
      <c r="M47" t="s">
        <v>185</v>
      </c>
      <c r="N47" t="s">
        <v>446</v>
      </c>
      <c r="O47">
        <v>554634</v>
      </c>
      <c r="P47" t="s">
        <v>422</v>
      </c>
      <c r="Q47" t="s">
        <v>447</v>
      </c>
      <c r="R47" t="s">
        <v>448</v>
      </c>
      <c r="S47">
        <v>420354596022</v>
      </c>
      <c r="T47" t="s">
        <v>449</v>
      </c>
      <c r="U47" t="s">
        <v>450</v>
      </c>
      <c r="V47" t="s">
        <v>99</v>
      </c>
      <c r="W47" t="s">
        <v>97</v>
      </c>
      <c r="X47">
        <f>+VLOOKUP(O47,[1]DATA!$B$37:$AW$170,48,0)</f>
        <v>2147</v>
      </c>
    </row>
    <row r="48" spans="1:24">
      <c r="A48">
        <v>70987840</v>
      </c>
      <c r="B48" t="s">
        <v>451</v>
      </c>
      <c r="C48" t="s">
        <v>181</v>
      </c>
      <c r="D48" t="s">
        <v>182</v>
      </c>
      <c r="E48" t="s">
        <v>183</v>
      </c>
      <c r="F48" t="s">
        <v>184</v>
      </c>
      <c r="G48" s="55" t="s">
        <v>184</v>
      </c>
      <c r="H48" t="s">
        <v>185</v>
      </c>
      <c r="I48" t="s">
        <v>185</v>
      </c>
      <c r="J48" t="s">
        <v>185</v>
      </c>
      <c r="K48" t="s">
        <v>185</v>
      </c>
      <c r="L48" t="s">
        <v>185</v>
      </c>
      <c r="M48" t="s">
        <v>185</v>
      </c>
      <c r="N48" t="s">
        <v>452</v>
      </c>
      <c r="O48">
        <v>554707</v>
      </c>
      <c r="P48" t="s">
        <v>453</v>
      </c>
      <c r="Q48" t="s">
        <v>454</v>
      </c>
      <c r="R48" t="s">
        <v>455</v>
      </c>
      <c r="S48">
        <v>420725512132</v>
      </c>
      <c r="T48" t="s">
        <v>456</v>
      </c>
      <c r="U48" t="s">
        <v>457</v>
      </c>
      <c r="V48" t="s">
        <v>99</v>
      </c>
      <c r="W48" t="s">
        <v>97</v>
      </c>
      <c r="X48">
        <f>+VLOOKUP(O48,[1]DATA!$B$37:$AW$170,48,0)</f>
        <v>530</v>
      </c>
    </row>
    <row r="49" spans="1:24">
      <c r="A49">
        <v>75004852</v>
      </c>
      <c r="B49" t="s">
        <v>458</v>
      </c>
      <c r="C49" t="s">
        <v>181</v>
      </c>
      <c r="D49" t="s">
        <v>182</v>
      </c>
      <c r="E49" t="s">
        <v>183</v>
      </c>
      <c r="F49" t="s">
        <v>184</v>
      </c>
      <c r="G49" s="55" t="s">
        <v>184</v>
      </c>
      <c r="H49" t="s">
        <v>185</v>
      </c>
      <c r="I49" t="s">
        <v>185</v>
      </c>
      <c r="J49" t="s">
        <v>185</v>
      </c>
      <c r="K49" t="s">
        <v>185</v>
      </c>
      <c r="L49" t="s">
        <v>185</v>
      </c>
      <c r="M49" t="s">
        <v>185</v>
      </c>
      <c r="N49" t="s">
        <v>459</v>
      </c>
      <c r="O49">
        <v>554626</v>
      </c>
      <c r="P49" t="s">
        <v>460</v>
      </c>
      <c r="Q49" t="s">
        <v>461</v>
      </c>
      <c r="R49" t="s">
        <v>462</v>
      </c>
      <c r="S49">
        <v>420354593185</v>
      </c>
      <c r="T49" t="s">
        <v>463</v>
      </c>
      <c r="U49" t="s">
        <v>464</v>
      </c>
      <c r="V49" t="s">
        <v>99</v>
      </c>
      <c r="W49" t="s">
        <v>97</v>
      </c>
      <c r="X49">
        <f>+VLOOKUP(O49,[1]DATA!$B$37:$AW$170,48,0)</f>
        <v>752</v>
      </c>
    </row>
    <row r="50" spans="1:24">
      <c r="A50">
        <v>71010696</v>
      </c>
      <c r="B50" t="s">
        <v>465</v>
      </c>
      <c r="C50" t="s">
        <v>181</v>
      </c>
      <c r="D50" t="s">
        <v>182</v>
      </c>
      <c r="E50" t="s">
        <v>183</v>
      </c>
      <c r="F50" t="s">
        <v>184</v>
      </c>
      <c r="G50" s="55" t="s">
        <v>184</v>
      </c>
      <c r="H50" t="s">
        <v>185</v>
      </c>
      <c r="I50" t="s">
        <v>185</v>
      </c>
      <c r="J50" t="s">
        <v>185</v>
      </c>
      <c r="K50" t="s">
        <v>185</v>
      </c>
      <c r="L50" t="s">
        <v>185</v>
      </c>
      <c r="M50" t="s">
        <v>185</v>
      </c>
      <c r="N50" t="s">
        <v>466</v>
      </c>
      <c r="O50">
        <v>554651</v>
      </c>
      <c r="P50" t="s">
        <v>467</v>
      </c>
      <c r="Q50" t="s">
        <v>468</v>
      </c>
      <c r="R50" t="s">
        <v>469</v>
      </c>
      <c r="S50">
        <v>420352200579</v>
      </c>
      <c r="U50" t="s">
        <v>470</v>
      </c>
      <c r="V50" t="s">
        <v>99</v>
      </c>
      <c r="W50" t="s">
        <v>97</v>
      </c>
      <c r="X50">
        <f>+VLOOKUP(O50,[1]DATA!$B$37:$AW$170,48,0)</f>
        <v>311</v>
      </c>
    </row>
    <row r="51" spans="1:24" hidden="1">
      <c r="A51">
        <v>71008799</v>
      </c>
      <c r="B51" t="s">
        <v>471</v>
      </c>
      <c r="C51" t="s">
        <v>181</v>
      </c>
      <c r="D51" t="s">
        <v>182</v>
      </c>
      <c r="E51" t="s">
        <v>183</v>
      </c>
      <c r="F51" t="s">
        <v>184</v>
      </c>
      <c r="G51" s="56" t="s">
        <v>185</v>
      </c>
      <c r="H51" t="s">
        <v>185</v>
      </c>
      <c r="I51" t="s">
        <v>185</v>
      </c>
      <c r="J51" t="s">
        <v>185</v>
      </c>
      <c r="K51" t="s">
        <v>185</v>
      </c>
      <c r="L51" t="s">
        <v>185</v>
      </c>
      <c r="M51" t="s">
        <v>185</v>
      </c>
      <c r="N51" t="s">
        <v>472</v>
      </c>
      <c r="O51">
        <v>554481</v>
      </c>
      <c r="P51" t="s">
        <v>67</v>
      </c>
      <c r="Q51" t="s">
        <v>473</v>
      </c>
      <c r="R51" t="s">
        <v>474</v>
      </c>
      <c r="S51">
        <v>420354593159</v>
      </c>
      <c r="T51" t="s">
        <v>475</v>
      </c>
      <c r="U51" t="s">
        <v>476</v>
      </c>
      <c r="V51" t="s">
        <v>99</v>
      </c>
      <c r="W51" t="s">
        <v>97</v>
      </c>
      <c r="X51">
        <f>+VLOOKUP(O51,[1]DATA!$B$37:$AW$170,48,0)</f>
        <v>32892</v>
      </c>
    </row>
    <row r="52" spans="1:24" hidden="1">
      <c r="A52">
        <v>70984832</v>
      </c>
      <c r="B52" t="s">
        <v>477</v>
      </c>
      <c r="C52" t="s">
        <v>181</v>
      </c>
      <c r="D52" t="s">
        <v>182</v>
      </c>
      <c r="E52" t="s">
        <v>183</v>
      </c>
      <c r="F52" t="s">
        <v>184</v>
      </c>
      <c r="G52" s="56" t="s">
        <v>185</v>
      </c>
      <c r="H52" t="s">
        <v>185</v>
      </c>
      <c r="I52" t="s">
        <v>185</v>
      </c>
      <c r="J52" t="s">
        <v>185</v>
      </c>
      <c r="K52" t="s">
        <v>185</v>
      </c>
      <c r="L52" t="s">
        <v>185</v>
      </c>
      <c r="M52" t="s">
        <v>185</v>
      </c>
      <c r="N52" t="s">
        <v>478</v>
      </c>
      <c r="O52">
        <v>560472</v>
      </c>
      <c r="P52" t="s">
        <v>69</v>
      </c>
      <c r="Q52" t="s">
        <v>479</v>
      </c>
      <c r="R52" t="s">
        <v>480</v>
      </c>
      <c r="S52">
        <v>420739456415</v>
      </c>
      <c r="T52" t="s">
        <v>481</v>
      </c>
      <c r="U52" t="s">
        <v>482</v>
      </c>
      <c r="V52" t="s">
        <v>105</v>
      </c>
      <c r="W52" t="s">
        <v>104</v>
      </c>
      <c r="X52">
        <f>+VLOOKUP(O52,[1]DATA!$B$37:$AW$170,48,0)</f>
        <v>6369</v>
      </c>
    </row>
    <row r="53" spans="1:24">
      <c r="A53">
        <v>70984859</v>
      </c>
      <c r="B53" t="s">
        <v>483</v>
      </c>
      <c r="C53" t="s">
        <v>181</v>
      </c>
      <c r="D53" t="s">
        <v>182</v>
      </c>
      <c r="E53" t="s">
        <v>183</v>
      </c>
      <c r="F53" t="s">
        <v>185</v>
      </c>
      <c r="G53" s="55" t="s">
        <v>184</v>
      </c>
      <c r="H53" t="s">
        <v>185</v>
      </c>
      <c r="I53" t="s">
        <v>185</v>
      </c>
      <c r="J53" t="s">
        <v>185</v>
      </c>
      <c r="K53" t="s">
        <v>185</v>
      </c>
      <c r="L53" t="s">
        <v>185</v>
      </c>
      <c r="M53" t="s">
        <v>185</v>
      </c>
      <c r="N53" t="s">
        <v>484</v>
      </c>
      <c r="O53">
        <v>560472</v>
      </c>
      <c r="P53" t="s">
        <v>69</v>
      </c>
      <c r="Q53" t="s">
        <v>485</v>
      </c>
      <c r="R53" t="s">
        <v>486</v>
      </c>
      <c r="S53">
        <v>420352696631</v>
      </c>
      <c r="T53" t="s">
        <v>487</v>
      </c>
      <c r="U53" t="s">
        <v>488</v>
      </c>
      <c r="V53" t="s">
        <v>105</v>
      </c>
      <c r="W53" t="s">
        <v>104</v>
      </c>
      <c r="X53">
        <f>+VLOOKUP(O53,[1]DATA!$B$37:$AW$170,48,0)</f>
        <v>6369</v>
      </c>
    </row>
    <row r="54" spans="1:24" hidden="1">
      <c r="A54">
        <v>70984824</v>
      </c>
      <c r="B54" t="s">
        <v>489</v>
      </c>
      <c r="C54" t="s">
        <v>181</v>
      </c>
      <c r="D54" t="s">
        <v>182</v>
      </c>
      <c r="E54" t="s">
        <v>183</v>
      </c>
      <c r="F54" t="s">
        <v>184</v>
      </c>
      <c r="G54" s="56" t="s">
        <v>185</v>
      </c>
      <c r="H54" t="s">
        <v>185</v>
      </c>
      <c r="I54" t="s">
        <v>185</v>
      </c>
      <c r="J54" t="s">
        <v>185</v>
      </c>
      <c r="K54" t="s">
        <v>185</v>
      </c>
      <c r="L54" t="s">
        <v>185</v>
      </c>
      <c r="M54" t="s">
        <v>185</v>
      </c>
      <c r="N54" t="s">
        <v>490</v>
      </c>
      <c r="O54">
        <v>560472</v>
      </c>
      <c r="P54" t="s">
        <v>69</v>
      </c>
      <c r="Q54" t="s">
        <v>491</v>
      </c>
      <c r="R54" t="s">
        <v>492</v>
      </c>
      <c r="S54">
        <v>420352696496</v>
      </c>
      <c r="T54" t="s">
        <v>493</v>
      </c>
      <c r="U54" t="s">
        <v>494</v>
      </c>
      <c r="V54" t="s">
        <v>105</v>
      </c>
      <c r="W54" t="s">
        <v>104</v>
      </c>
      <c r="X54">
        <f>+VLOOKUP(O54,[1]DATA!$B$37:$AW$170,48,0)</f>
        <v>6369</v>
      </c>
    </row>
    <row r="55" spans="1:24" hidden="1">
      <c r="A55">
        <v>70984867</v>
      </c>
      <c r="B55" t="s">
        <v>495</v>
      </c>
      <c r="C55" t="s">
        <v>181</v>
      </c>
      <c r="D55" t="s">
        <v>182</v>
      </c>
      <c r="E55" t="s">
        <v>183</v>
      </c>
      <c r="F55" t="s">
        <v>185</v>
      </c>
      <c r="G55" s="56" t="s">
        <v>185</v>
      </c>
      <c r="H55" t="s">
        <v>185</v>
      </c>
      <c r="I55" t="s">
        <v>185</v>
      </c>
      <c r="J55" t="s">
        <v>185</v>
      </c>
      <c r="K55" t="s">
        <v>184</v>
      </c>
      <c r="L55" t="s">
        <v>185</v>
      </c>
      <c r="M55" t="s">
        <v>185</v>
      </c>
      <c r="N55" t="s">
        <v>496</v>
      </c>
      <c r="O55">
        <v>560472</v>
      </c>
      <c r="P55" t="s">
        <v>69</v>
      </c>
      <c r="Q55" t="s">
        <v>497</v>
      </c>
      <c r="R55" t="s">
        <v>498</v>
      </c>
      <c r="S55">
        <v>420352686338</v>
      </c>
      <c r="T55" t="s">
        <v>499</v>
      </c>
      <c r="U55" t="s">
        <v>500</v>
      </c>
      <c r="V55" t="s">
        <v>105</v>
      </c>
      <c r="W55" t="s">
        <v>104</v>
      </c>
      <c r="X55">
        <f>+VLOOKUP(O55,[1]DATA!$B$37:$AW$170,48,0)</f>
        <v>6369</v>
      </c>
    </row>
    <row r="56" spans="1:24" hidden="1">
      <c r="A56">
        <v>70984808</v>
      </c>
      <c r="B56" t="s">
        <v>501</v>
      </c>
      <c r="C56" t="s">
        <v>181</v>
      </c>
      <c r="D56" t="s">
        <v>182</v>
      </c>
      <c r="E56" t="s">
        <v>183</v>
      </c>
      <c r="F56" t="s">
        <v>184</v>
      </c>
      <c r="G56" s="56" t="s">
        <v>185</v>
      </c>
      <c r="H56" t="s">
        <v>185</v>
      </c>
      <c r="I56" t="s">
        <v>185</v>
      </c>
      <c r="J56" t="s">
        <v>185</v>
      </c>
      <c r="K56" t="s">
        <v>185</v>
      </c>
      <c r="L56" t="s">
        <v>185</v>
      </c>
      <c r="M56" t="s">
        <v>185</v>
      </c>
      <c r="N56" t="s">
        <v>502</v>
      </c>
      <c r="O56">
        <v>560472</v>
      </c>
      <c r="P56" t="s">
        <v>69</v>
      </c>
      <c r="Q56" t="s">
        <v>503</v>
      </c>
      <c r="R56" t="s">
        <v>504</v>
      </c>
      <c r="S56">
        <v>420352696695</v>
      </c>
      <c r="T56" t="s">
        <v>505</v>
      </c>
      <c r="U56" t="s">
        <v>506</v>
      </c>
      <c r="V56" t="s">
        <v>105</v>
      </c>
      <c r="W56" t="s">
        <v>104</v>
      </c>
      <c r="X56">
        <f>+VLOOKUP(O56,[1]DATA!$B$37:$AW$170,48,0)</f>
        <v>6369</v>
      </c>
    </row>
    <row r="57" spans="1:24">
      <c r="A57">
        <v>69979847</v>
      </c>
      <c r="B57" t="s">
        <v>507</v>
      </c>
      <c r="C57" t="s">
        <v>181</v>
      </c>
      <c r="D57" t="s">
        <v>182</v>
      </c>
      <c r="E57" t="s">
        <v>183</v>
      </c>
      <c r="F57" t="s">
        <v>184</v>
      </c>
      <c r="G57" s="55" t="s">
        <v>184</v>
      </c>
      <c r="H57" t="s">
        <v>184</v>
      </c>
      <c r="I57" t="s">
        <v>185</v>
      </c>
      <c r="J57" t="s">
        <v>185</v>
      </c>
      <c r="K57" t="s">
        <v>185</v>
      </c>
      <c r="L57" t="s">
        <v>185</v>
      </c>
      <c r="M57" t="s">
        <v>185</v>
      </c>
      <c r="N57" t="s">
        <v>508</v>
      </c>
      <c r="O57">
        <v>560472</v>
      </c>
      <c r="P57" t="s">
        <v>69</v>
      </c>
      <c r="Q57" t="s">
        <v>509</v>
      </c>
      <c r="R57" t="s">
        <v>510</v>
      </c>
      <c r="S57">
        <v>420352686518</v>
      </c>
      <c r="T57" t="s">
        <v>511</v>
      </c>
      <c r="U57" t="s">
        <v>512</v>
      </c>
      <c r="V57" t="s">
        <v>105</v>
      </c>
      <c r="W57" t="s">
        <v>104</v>
      </c>
      <c r="X57">
        <f>+VLOOKUP(O57,[1]DATA!$B$37:$AW$170,48,0)</f>
        <v>6369</v>
      </c>
    </row>
    <row r="58" spans="1:24">
      <c r="A58">
        <v>70984841</v>
      </c>
      <c r="B58" t="s">
        <v>513</v>
      </c>
      <c r="C58" t="s">
        <v>181</v>
      </c>
      <c r="D58" t="s">
        <v>182</v>
      </c>
      <c r="E58" t="s">
        <v>183</v>
      </c>
      <c r="F58" t="s">
        <v>185</v>
      </c>
      <c r="G58" s="55" t="s">
        <v>184</v>
      </c>
      <c r="H58" t="s">
        <v>185</v>
      </c>
      <c r="I58" t="s">
        <v>185</v>
      </c>
      <c r="J58" t="s">
        <v>185</v>
      </c>
      <c r="K58" t="s">
        <v>185</v>
      </c>
      <c r="L58" t="s">
        <v>185</v>
      </c>
      <c r="M58" t="s">
        <v>185</v>
      </c>
      <c r="N58" t="s">
        <v>514</v>
      </c>
      <c r="O58">
        <v>560472</v>
      </c>
      <c r="P58" t="s">
        <v>69</v>
      </c>
      <c r="Q58" t="s">
        <v>515</v>
      </c>
      <c r="R58" t="s">
        <v>516</v>
      </c>
      <c r="S58">
        <v>420352629760</v>
      </c>
      <c r="T58" t="s">
        <v>517</v>
      </c>
      <c r="U58" t="s">
        <v>518</v>
      </c>
      <c r="V58" t="s">
        <v>105</v>
      </c>
      <c r="W58" t="s">
        <v>104</v>
      </c>
      <c r="X58">
        <f>+VLOOKUP(O58,[1]DATA!$B$37:$AW$170,48,0)</f>
        <v>6369</v>
      </c>
    </row>
    <row r="59" spans="1:24" hidden="1">
      <c r="A59">
        <v>69978573</v>
      </c>
      <c r="B59" t="s">
        <v>519</v>
      </c>
      <c r="C59" t="s">
        <v>181</v>
      </c>
      <c r="D59" t="s">
        <v>182</v>
      </c>
      <c r="E59" t="s">
        <v>183</v>
      </c>
      <c r="F59" t="s">
        <v>185</v>
      </c>
      <c r="G59" s="56" t="s">
        <v>185</v>
      </c>
      <c r="H59" t="s">
        <v>185</v>
      </c>
      <c r="I59" t="s">
        <v>185</v>
      </c>
      <c r="J59" t="s">
        <v>185</v>
      </c>
      <c r="K59" t="s">
        <v>185</v>
      </c>
      <c r="L59" t="s">
        <v>184</v>
      </c>
      <c r="M59" t="s">
        <v>185</v>
      </c>
      <c r="N59" t="s">
        <v>520</v>
      </c>
      <c r="O59">
        <v>560472</v>
      </c>
      <c r="P59" t="s">
        <v>69</v>
      </c>
      <c r="Q59" t="s">
        <v>521</v>
      </c>
      <c r="R59" t="s">
        <v>522</v>
      </c>
      <c r="S59">
        <v>420352696620</v>
      </c>
      <c r="T59" t="s">
        <v>523</v>
      </c>
      <c r="U59" t="s">
        <v>524</v>
      </c>
      <c r="V59" t="s">
        <v>105</v>
      </c>
      <c r="W59" t="s">
        <v>104</v>
      </c>
      <c r="X59">
        <f>+VLOOKUP(O59,[1]DATA!$B$37:$AW$170,48,0)</f>
        <v>6369</v>
      </c>
    </row>
    <row r="60" spans="1:24" hidden="1">
      <c r="A60">
        <v>70984816</v>
      </c>
      <c r="B60" t="s">
        <v>525</v>
      </c>
      <c r="C60" t="s">
        <v>181</v>
      </c>
      <c r="D60" t="s">
        <v>182</v>
      </c>
      <c r="E60" t="s">
        <v>183</v>
      </c>
      <c r="F60" t="s">
        <v>184</v>
      </c>
      <c r="G60" s="56" t="s">
        <v>185</v>
      </c>
      <c r="H60" t="s">
        <v>185</v>
      </c>
      <c r="I60" t="s">
        <v>185</v>
      </c>
      <c r="J60" t="s">
        <v>185</v>
      </c>
      <c r="K60" t="s">
        <v>185</v>
      </c>
      <c r="L60" t="s">
        <v>185</v>
      </c>
      <c r="M60" t="s">
        <v>185</v>
      </c>
      <c r="N60" t="s">
        <v>526</v>
      </c>
      <c r="O60">
        <v>560472</v>
      </c>
      <c r="P60" t="s">
        <v>69</v>
      </c>
      <c r="Q60" t="s">
        <v>527</v>
      </c>
      <c r="R60" t="s">
        <v>528</v>
      </c>
      <c r="S60">
        <v>420352686205</v>
      </c>
      <c r="T60" t="s">
        <v>529</v>
      </c>
      <c r="U60" t="s">
        <v>530</v>
      </c>
      <c r="V60" t="s">
        <v>105</v>
      </c>
      <c r="W60" t="s">
        <v>104</v>
      </c>
      <c r="X60">
        <f>+VLOOKUP(O60,[1]DATA!$B$37:$AW$170,48,0)</f>
        <v>6369</v>
      </c>
    </row>
    <row r="61" spans="1:24" hidden="1">
      <c r="A61">
        <v>70997284</v>
      </c>
      <c r="B61" t="s">
        <v>531</v>
      </c>
      <c r="C61" t="s">
        <v>181</v>
      </c>
      <c r="D61" t="s">
        <v>182</v>
      </c>
      <c r="E61" t="s">
        <v>183</v>
      </c>
      <c r="F61" t="s">
        <v>185</v>
      </c>
      <c r="G61" s="56" t="s">
        <v>185</v>
      </c>
      <c r="H61" t="s">
        <v>185</v>
      </c>
      <c r="I61" t="s">
        <v>185</v>
      </c>
      <c r="J61" t="s">
        <v>185</v>
      </c>
      <c r="K61" t="s">
        <v>184</v>
      </c>
      <c r="L61" t="s">
        <v>185</v>
      </c>
      <c r="M61" t="s">
        <v>185</v>
      </c>
      <c r="N61" t="s">
        <v>532</v>
      </c>
      <c r="O61">
        <v>560499</v>
      </c>
      <c r="P61" t="s">
        <v>533</v>
      </c>
      <c r="Q61" t="s">
        <v>534</v>
      </c>
      <c r="R61" t="s">
        <v>535</v>
      </c>
      <c r="S61">
        <v>420725054850</v>
      </c>
      <c r="T61" t="s">
        <v>536</v>
      </c>
      <c r="U61" t="s">
        <v>537</v>
      </c>
      <c r="V61" t="s">
        <v>106</v>
      </c>
      <c r="W61" t="s">
        <v>104</v>
      </c>
      <c r="X61">
        <f>+VLOOKUP(O61,[1]DATA!$B$37:$AW$170,48,0)</f>
        <v>4537</v>
      </c>
    </row>
    <row r="62" spans="1:24" hidden="1">
      <c r="A62">
        <v>49766961</v>
      </c>
      <c r="B62" t="s">
        <v>538</v>
      </c>
      <c r="C62" t="s">
        <v>181</v>
      </c>
      <c r="D62" t="s">
        <v>182</v>
      </c>
      <c r="E62" t="s">
        <v>183</v>
      </c>
      <c r="F62" t="s">
        <v>184</v>
      </c>
      <c r="G62" s="56" t="s">
        <v>185</v>
      </c>
      <c r="H62" t="s">
        <v>185</v>
      </c>
      <c r="I62" t="s">
        <v>185</v>
      </c>
      <c r="J62" t="s">
        <v>185</v>
      </c>
      <c r="K62" t="s">
        <v>185</v>
      </c>
      <c r="L62" t="s">
        <v>185</v>
      </c>
      <c r="M62" t="s">
        <v>185</v>
      </c>
      <c r="N62" t="s">
        <v>539</v>
      </c>
      <c r="O62">
        <v>560499</v>
      </c>
      <c r="P62" t="s">
        <v>533</v>
      </c>
      <c r="Q62" t="s">
        <v>540</v>
      </c>
      <c r="R62" t="s">
        <v>541</v>
      </c>
      <c r="S62">
        <v>420352693417</v>
      </c>
      <c r="T62" t="s">
        <v>542</v>
      </c>
      <c r="U62" t="s">
        <v>543</v>
      </c>
      <c r="V62" t="s">
        <v>106</v>
      </c>
      <c r="W62" t="s">
        <v>104</v>
      </c>
      <c r="X62">
        <f>+VLOOKUP(O62,[1]DATA!$B$37:$AW$170,48,0)</f>
        <v>4537</v>
      </c>
    </row>
    <row r="63" spans="1:24">
      <c r="A63">
        <v>69978883</v>
      </c>
      <c r="B63" t="s">
        <v>544</v>
      </c>
      <c r="C63" t="s">
        <v>181</v>
      </c>
      <c r="D63" t="s">
        <v>182</v>
      </c>
      <c r="E63" t="s">
        <v>183</v>
      </c>
      <c r="F63" t="s">
        <v>185</v>
      </c>
      <c r="G63" s="55" t="s">
        <v>184</v>
      </c>
      <c r="H63" t="s">
        <v>185</v>
      </c>
      <c r="I63" t="s">
        <v>185</v>
      </c>
      <c r="J63" t="s">
        <v>185</v>
      </c>
      <c r="K63" t="s">
        <v>185</v>
      </c>
      <c r="L63" t="s">
        <v>185</v>
      </c>
      <c r="M63" t="s">
        <v>185</v>
      </c>
      <c r="N63" t="s">
        <v>545</v>
      </c>
      <c r="O63">
        <v>560499</v>
      </c>
      <c r="P63" t="s">
        <v>533</v>
      </c>
      <c r="Q63" t="s">
        <v>546</v>
      </c>
      <c r="R63" t="s">
        <v>547</v>
      </c>
      <c r="S63">
        <v>420352683135</v>
      </c>
      <c r="T63" t="s">
        <v>548</v>
      </c>
      <c r="U63" t="s">
        <v>549</v>
      </c>
      <c r="V63" t="s">
        <v>106</v>
      </c>
      <c r="W63" t="s">
        <v>104</v>
      </c>
      <c r="X63">
        <f>+VLOOKUP(O63,[1]DATA!$B$37:$AW$170,48,0)</f>
        <v>4537</v>
      </c>
    </row>
    <row r="64" spans="1:24" hidden="1">
      <c r="A64">
        <v>63531054</v>
      </c>
      <c r="B64" t="s">
        <v>550</v>
      </c>
      <c r="C64" t="s">
        <v>181</v>
      </c>
      <c r="D64" t="s">
        <v>182</v>
      </c>
      <c r="E64" t="s">
        <v>183</v>
      </c>
      <c r="F64" t="s">
        <v>184</v>
      </c>
      <c r="G64" s="56" t="s">
        <v>185</v>
      </c>
      <c r="H64" t="s">
        <v>185</v>
      </c>
      <c r="I64" t="s">
        <v>185</v>
      </c>
      <c r="J64" t="s">
        <v>185</v>
      </c>
      <c r="K64" t="s">
        <v>185</v>
      </c>
      <c r="L64" t="s">
        <v>185</v>
      </c>
      <c r="M64" t="s">
        <v>185</v>
      </c>
      <c r="N64" t="s">
        <v>551</v>
      </c>
      <c r="O64">
        <v>560499</v>
      </c>
      <c r="P64" t="s">
        <v>533</v>
      </c>
      <c r="Q64" t="s">
        <v>552</v>
      </c>
      <c r="R64" t="s">
        <v>553</v>
      </c>
      <c r="S64">
        <v>420352683182</v>
      </c>
      <c r="T64" t="s">
        <v>554</v>
      </c>
      <c r="U64" t="s">
        <v>555</v>
      </c>
      <c r="V64" t="s">
        <v>106</v>
      </c>
      <c r="W64" t="s">
        <v>104</v>
      </c>
      <c r="X64">
        <f>+VLOOKUP(O64,[1]DATA!$B$37:$AW$170,48,0)</f>
        <v>4537</v>
      </c>
    </row>
    <row r="65" spans="1:24">
      <c r="A65">
        <v>69983534</v>
      </c>
      <c r="B65" t="s">
        <v>556</v>
      </c>
      <c r="C65" t="s">
        <v>181</v>
      </c>
      <c r="D65" t="s">
        <v>182</v>
      </c>
      <c r="E65" t="s">
        <v>183</v>
      </c>
      <c r="F65" t="s">
        <v>184</v>
      </c>
      <c r="G65" s="55" t="s">
        <v>184</v>
      </c>
      <c r="H65" t="s">
        <v>185</v>
      </c>
      <c r="I65" t="s">
        <v>185</v>
      </c>
      <c r="J65" t="s">
        <v>185</v>
      </c>
      <c r="K65" t="s">
        <v>185</v>
      </c>
      <c r="L65" t="s">
        <v>185</v>
      </c>
      <c r="M65" t="s">
        <v>185</v>
      </c>
      <c r="N65" t="s">
        <v>557</v>
      </c>
      <c r="O65">
        <v>560456</v>
      </c>
      <c r="P65" t="s">
        <v>558</v>
      </c>
      <c r="Q65" t="s">
        <v>559</v>
      </c>
      <c r="R65" t="s">
        <v>560</v>
      </c>
      <c r="S65">
        <v>420731118393</v>
      </c>
      <c r="T65" t="s">
        <v>561</v>
      </c>
      <c r="U65" t="s">
        <v>562</v>
      </c>
      <c r="V65" t="s">
        <v>106</v>
      </c>
      <c r="W65" t="s">
        <v>104</v>
      </c>
      <c r="X65">
        <f>+VLOOKUP(O65,[1]DATA!$B$37:$AW$170,48,0)</f>
        <v>920</v>
      </c>
    </row>
    <row r="66" spans="1:24" hidden="1">
      <c r="A66">
        <v>75006448</v>
      </c>
      <c r="B66" t="s">
        <v>563</v>
      </c>
      <c r="C66" t="s">
        <v>181</v>
      </c>
      <c r="D66" t="s">
        <v>182</v>
      </c>
      <c r="E66" t="s">
        <v>183</v>
      </c>
      <c r="F66" t="s">
        <v>184</v>
      </c>
      <c r="G66" s="56" t="s">
        <v>185</v>
      </c>
      <c r="H66" t="s">
        <v>185</v>
      </c>
      <c r="I66" t="s">
        <v>185</v>
      </c>
      <c r="J66" t="s">
        <v>185</v>
      </c>
      <c r="K66" t="s">
        <v>185</v>
      </c>
      <c r="L66" t="s">
        <v>185</v>
      </c>
      <c r="M66" t="s">
        <v>185</v>
      </c>
      <c r="N66" t="s">
        <v>564</v>
      </c>
      <c r="O66">
        <v>560359</v>
      </c>
      <c r="P66" t="s">
        <v>565</v>
      </c>
      <c r="Q66" t="s">
        <v>566</v>
      </c>
      <c r="R66" t="s">
        <v>567</v>
      </c>
      <c r="S66">
        <v>420352682200</v>
      </c>
      <c r="T66" t="s">
        <v>568</v>
      </c>
      <c r="U66" t="s">
        <v>569</v>
      </c>
      <c r="V66" t="s">
        <v>106</v>
      </c>
      <c r="W66" t="s">
        <v>104</v>
      </c>
      <c r="X66">
        <f>+VLOOKUP(O66,[1]DATA!$B$37:$AW$170,48,0)</f>
        <v>4614</v>
      </c>
    </row>
    <row r="67" spans="1:24">
      <c r="A67">
        <v>75006502</v>
      </c>
      <c r="B67" t="s">
        <v>570</v>
      </c>
      <c r="C67" t="s">
        <v>181</v>
      </c>
      <c r="D67" t="s">
        <v>182</v>
      </c>
      <c r="E67" t="s">
        <v>183</v>
      </c>
      <c r="F67" t="s">
        <v>185</v>
      </c>
      <c r="G67" s="55" t="s">
        <v>184</v>
      </c>
      <c r="H67" t="s">
        <v>185</v>
      </c>
      <c r="I67" t="s">
        <v>185</v>
      </c>
      <c r="J67" t="s">
        <v>185</v>
      </c>
      <c r="K67" t="s">
        <v>185</v>
      </c>
      <c r="L67" t="s">
        <v>185</v>
      </c>
      <c r="M67" t="s">
        <v>185</v>
      </c>
      <c r="N67" t="s">
        <v>571</v>
      </c>
      <c r="O67">
        <v>560359</v>
      </c>
      <c r="P67" t="s">
        <v>565</v>
      </c>
      <c r="Q67" t="s">
        <v>572</v>
      </c>
      <c r="R67" t="s">
        <v>573</v>
      </c>
      <c r="S67">
        <v>420352692547</v>
      </c>
      <c r="T67" t="s">
        <v>574</v>
      </c>
      <c r="U67" t="s">
        <v>575</v>
      </c>
      <c r="V67" t="s">
        <v>106</v>
      </c>
      <c r="W67" t="s">
        <v>104</v>
      </c>
      <c r="X67">
        <f>+VLOOKUP(O67,[1]DATA!$B$37:$AW$170,48,0)</f>
        <v>4614</v>
      </c>
    </row>
    <row r="68" spans="1:24" hidden="1">
      <c r="A68">
        <v>75006472</v>
      </c>
      <c r="B68" t="s">
        <v>576</v>
      </c>
      <c r="C68" t="s">
        <v>181</v>
      </c>
      <c r="D68" t="s">
        <v>182</v>
      </c>
      <c r="E68" t="s">
        <v>183</v>
      </c>
      <c r="F68" t="s">
        <v>185</v>
      </c>
      <c r="G68" s="56" t="s">
        <v>185</v>
      </c>
      <c r="H68" t="s">
        <v>185</v>
      </c>
      <c r="I68" t="s">
        <v>185</v>
      </c>
      <c r="J68" t="s">
        <v>185</v>
      </c>
      <c r="K68" t="s">
        <v>184</v>
      </c>
      <c r="L68" t="s">
        <v>185</v>
      </c>
      <c r="M68" t="s">
        <v>185</v>
      </c>
      <c r="N68" t="s">
        <v>577</v>
      </c>
      <c r="O68">
        <v>560359</v>
      </c>
      <c r="P68" t="s">
        <v>565</v>
      </c>
      <c r="Q68" t="s">
        <v>578</v>
      </c>
      <c r="R68" t="s">
        <v>579</v>
      </c>
      <c r="S68">
        <v>420721417161</v>
      </c>
      <c r="T68" t="s">
        <v>580</v>
      </c>
      <c r="U68" t="s">
        <v>581</v>
      </c>
      <c r="V68" t="s">
        <v>106</v>
      </c>
      <c r="W68" t="s">
        <v>104</v>
      </c>
      <c r="X68">
        <f>+VLOOKUP(O68,[1]DATA!$B$37:$AW$170,48,0)</f>
        <v>4614</v>
      </c>
    </row>
    <row r="69" spans="1:24" hidden="1">
      <c r="A69">
        <v>75006456</v>
      </c>
      <c r="B69" t="s">
        <v>582</v>
      </c>
      <c r="C69" t="s">
        <v>181</v>
      </c>
      <c r="D69" t="s">
        <v>182</v>
      </c>
      <c r="E69" t="s">
        <v>183</v>
      </c>
      <c r="F69" t="s">
        <v>184</v>
      </c>
      <c r="G69" s="56" t="s">
        <v>185</v>
      </c>
      <c r="H69" t="s">
        <v>185</v>
      </c>
      <c r="I69" t="s">
        <v>185</v>
      </c>
      <c r="J69" t="s">
        <v>185</v>
      </c>
      <c r="K69" t="s">
        <v>185</v>
      </c>
      <c r="L69" t="s">
        <v>185</v>
      </c>
      <c r="M69" t="s">
        <v>185</v>
      </c>
      <c r="N69" t="s">
        <v>583</v>
      </c>
      <c r="O69">
        <v>560359</v>
      </c>
      <c r="P69" t="s">
        <v>565</v>
      </c>
      <c r="Q69" t="s">
        <v>584</v>
      </c>
      <c r="R69" t="s">
        <v>585</v>
      </c>
      <c r="S69">
        <v>420352682249</v>
      </c>
      <c r="T69" t="s">
        <v>586</v>
      </c>
      <c r="U69" t="s">
        <v>587</v>
      </c>
      <c r="V69" t="s">
        <v>106</v>
      </c>
      <c r="W69" t="s">
        <v>104</v>
      </c>
      <c r="X69">
        <f>+VLOOKUP(O69,[1]DATA!$B$37:$AW$170,48,0)</f>
        <v>4614</v>
      </c>
    </row>
    <row r="70" spans="1:24">
      <c r="A70">
        <v>75005239</v>
      </c>
      <c r="B70" t="s">
        <v>588</v>
      </c>
      <c r="C70" t="s">
        <v>181</v>
      </c>
      <c r="D70" t="s">
        <v>182</v>
      </c>
      <c r="E70" t="s">
        <v>183</v>
      </c>
      <c r="F70" t="s">
        <v>184</v>
      </c>
      <c r="G70" s="55" t="s">
        <v>184</v>
      </c>
      <c r="H70" t="s">
        <v>185</v>
      </c>
      <c r="I70" t="s">
        <v>185</v>
      </c>
      <c r="J70" t="s">
        <v>185</v>
      </c>
      <c r="K70" t="s">
        <v>185</v>
      </c>
      <c r="L70" t="s">
        <v>185</v>
      </c>
      <c r="M70" t="s">
        <v>185</v>
      </c>
      <c r="N70" t="s">
        <v>589</v>
      </c>
      <c r="O70">
        <v>554502</v>
      </c>
      <c r="P70" t="s">
        <v>590</v>
      </c>
      <c r="Q70" t="s">
        <v>591</v>
      </c>
      <c r="R70" t="s">
        <v>592</v>
      </c>
      <c r="S70">
        <v>420739452181</v>
      </c>
      <c r="T70" t="s">
        <v>593</v>
      </c>
      <c r="U70" t="s">
        <v>594</v>
      </c>
      <c r="V70" t="s">
        <v>99</v>
      </c>
      <c r="W70" t="s">
        <v>97</v>
      </c>
      <c r="X70">
        <f>+VLOOKUP(O70,[1]DATA!$B$37:$AW$170,48,0)</f>
        <v>1186</v>
      </c>
    </row>
    <row r="71" spans="1:24">
      <c r="A71">
        <v>70995974</v>
      </c>
      <c r="B71" t="s">
        <v>595</v>
      </c>
      <c r="C71" t="s">
        <v>181</v>
      </c>
      <c r="D71" t="s">
        <v>182</v>
      </c>
      <c r="E71" t="s">
        <v>183</v>
      </c>
      <c r="F71" t="s">
        <v>184</v>
      </c>
      <c r="G71" s="55" t="s">
        <v>184</v>
      </c>
      <c r="H71" t="s">
        <v>185</v>
      </c>
      <c r="I71" t="s">
        <v>185</v>
      </c>
      <c r="J71" t="s">
        <v>185</v>
      </c>
      <c r="K71" t="s">
        <v>185</v>
      </c>
      <c r="L71" t="s">
        <v>185</v>
      </c>
      <c r="M71" t="s">
        <v>185</v>
      </c>
      <c r="N71" t="s">
        <v>596</v>
      </c>
      <c r="O71">
        <v>560499</v>
      </c>
      <c r="P71" t="s">
        <v>533</v>
      </c>
      <c r="Q71" t="s">
        <v>597</v>
      </c>
      <c r="R71" t="s">
        <v>598</v>
      </c>
      <c r="S71">
        <v>420604428231</v>
      </c>
      <c r="T71" t="s">
        <v>599</v>
      </c>
      <c r="U71" t="s">
        <v>600</v>
      </c>
      <c r="V71" t="s">
        <v>106</v>
      </c>
      <c r="W71" t="s">
        <v>104</v>
      </c>
      <c r="X71">
        <f>+VLOOKUP(O71,[1]DATA!$B$37:$AW$170,48,0)</f>
        <v>4537</v>
      </c>
    </row>
    <row r="72" spans="1:24">
      <c r="A72">
        <v>70945128</v>
      </c>
      <c r="B72" t="s">
        <v>601</v>
      </c>
      <c r="C72" t="s">
        <v>181</v>
      </c>
      <c r="D72" t="s">
        <v>182</v>
      </c>
      <c r="E72" t="s">
        <v>183</v>
      </c>
      <c r="F72" t="s">
        <v>184</v>
      </c>
      <c r="G72" s="55" t="s">
        <v>184</v>
      </c>
      <c r="H72" t="s">
        <v>185</v>
      </c>
      <c r="I72" t="s">
        <v>185</v>
      </c>
      <c r="J72" t="s">
        <v>185</v>
      </c>
      <c r="K72" t="s">
        <v>185</v>
      </c>
      <c r="L72" t="s">
        <v>185</v>
      </c>
      <c r="M72" t="s">
        <v>185</v>
      </c>
      <c r="N72" t="s">
        <v>602</v>
      </c>
      <c r="O72">
        <v>560600</v>
      </c>
      <c r="P72" t="s">
        <v>603</v>
      </c>
      <c r="Q72" t="s">
        <v>604</v>
      </c>
      <c r="R72" t="s">
        <v>605</v>
      </c>
      <c r="S72">
        <v>420739455076</v>
      </c>
      <c r="T72" t="s">
        <v>606</v>
      </c>
      <c r="U72" t="s">
        <v>607</v>
      </c>
      <c r="V72" t="s">
        <v>105</v>
      </c>
      <c r="W72" t="s">
        <v>104</v>
      </c>
      <c r="X72">
        <f>+VLOOKUP(O72,[1]DATA!$B$37:$AW$170,48,0)</f>
        <v>2753</v>
      </c>
    </row>
    <row r="73" spans="1:24">
      <c r="A73">
        <v>70980951</v>
      </c>
      <c r="B73" t="s">
        <v>608</v>
      </c>
      <c r="C73" t="s">
        <v>181</v>
      </c>
      <c r="D73" t="s">
        <v>182</v>
      </c>
      <c r="E73" t="s">
        <v>183</v>
      </c>
      <c r="F73" t="s">
        <v>184</v>
      </c>
      <c r="G73" s="55" t="s">
        <v>184</v>
      </c>
      <c r="H73" t="s">
        <v>185</v>
      </c>
      <c r="I73" t="s">
        <v>185</v>
      </c>
      <c r="J73" t="s">
        <v>185</v>
      </c>
      <c r="K73" t="s">
        <v>185</v>
      </c>
      <c r="L73" t="s">
        <v>185</v>
      </c>
      <c r="M73" t="s">
        <v>185</v>
      </c>
      <c r="N73" t="s">
        <v>609</v>
      </c>
      <c r="O73">
        <v>560588</v>
      </c>
      <c r="P73" t="s">
        <v>610</v>
      </c>
      <c r="Q73" t="s">
        <v>611</v>
      </c>
      <c r="R73" t="s">
        <v>612</v>
      </c>
      <c r="S73">
        <v>420352673120</v>
      </c>
      <c r="T73" t="s">
        <v>613</v>
      </c>
      <c r="U73" t="s">
        <v>614</v>
      </c>
      <c r="V73" t="s">
        <v>105</v>
      </c>
      <c r="W73" t="s">
        <v>104</v>
      </c>
      <c r="X73">
        <f>+VLOOKUP(O73,[1]DATA!$B$37:$AW$170,48,0)</f>
        <v>1618</v>
      </c>
    </row>
    <row r="74" spans="1:24">
      <c r="A74">
        <v>75006901</v>
      </c>
      <c r="B74" t="s">
        <v>615</v>
      </c>
      <c r="C74" t="s">
        <v>181</v>
      </c>
      <c r="D74" t="s">
        <v>182</v>
      </c>
      <c r="E74" t="s">
        <v>183</v>
      </c>
      <c r="F74" t="s">
        <v>185</v>
      </c>
      <c r="G74" s="55" t="s">
        <v>184</v>
      </c>
      <c r="H74" t="s">
        <v>185</v>
      </c>
      <c r="I74" t="s">
        <v>185</v>
      </c>
      <c r="J74" t="s">
        <v>185</v>
      </c>
      <c r="K74" t="s">
        <v>185</v>
      </c>
      <c r="L74" t="s">
        <v>185</v>
      </c>
      <c r="M74" t="s">
        <v>185</v>
      </c>
      <c r="N74" t="s">
        <v>616</v>
      </c>
      <c r="O74">
        <v>560316</v>
      </c>
      <c r="P74" t="s">
        <v>617</v>
      </c>
      <c r="Q74" t="s">
        <v>618</v>
      </c>
      <c r="R74" t="s">
        <v>619</v>
      </c>
      <c r="S74">
        <v>420352682163</v>
      </c>
      <c r="T74" t="s">
        <v>620</v>
      </c>
      <c r="U74" t="s">
        <v>621</v>
      </c>
      <c r="V74" t="s">
        <v>106</v>
      </c>
      <c r="W74" t="s">
        <v>104</v>
      </c>
      <c r="X74">
        <f>+VLOOKUP(O74,[1]DATA!$B$37:$AW$170,48,0)</f>
        <v>1476</v>
      </c>
    </row>
    <row r="75" spans="1:24" hidden="1">
      <c r="A75">
        <v>75006898</v>
      </c>
      <c r="B75" t="s">
        <v>622</v>
      </c>
      <c r="C75" t="s">
        <v>181</v>
      </c>
      <c r="D75" t="s">
        <v>182</v>
      </c>
      <c r="E75" t="s">
        <v>183</v>
      </c>
      <c r="F75" t="s">
        <v>184</v>
      </c>
      <c r="G75" s="56" t="s">
        <v>185</v>
      </c>
      <c r="H75" t="s">
        <v>185</v>
      </c>
      <c r="I75" t="s">
        <v>185</v>
      </c>
      <c r="J75" t="s">
        <v>185</v>
      </c>
      <c r="K75" t="s">
        <v>185</v>
      </c>
      <c r="L75" t="s">
        <v>185</v>
      </c>
      <c r="M75" t="s">
        <v>185</v>
      </c>
      <c r="N75" t="s">
        <v>623</v>
      </c>
      <c r="O75">
        <v>560316</v>
      </c>
      <c r="P75" t="s">
        <v>617</v>
      </c>
      <c r="Q75" t="s">
        <v>624</v>
      </c>
      <c r="R75" t="s">
        <v>625</v>
      </c>
      <c r="S75">
        <v>420352682181</v>
      </c>
      <c r="T75" t="s">
        <v>626</v>
      </c>
      <c r="U75" t="s">
        <v>627</v>
      </c>
      <c r="V75" t="s">
        <v>106</v>
      </c>
      <c r="W75" t="s">
        <v>104</v>
      </c>
      <c r="X75">
        <f>+VLOOKUP(O75,[1]DATA!$B$37:$AW$170,48,0)</f>
        <v>1476</v>
      </c>
    </row>
    <row r="76" spans="1:24" hidden="1">
      <c r="A76">
        <v>70995982</v>
      </c>
      <c r="B76" t="s">
        <v>628</v>
      </c>
      <c r="C76" t="s">
        <v>181</v>
      </c>
      <c r="D76" t="s">
        <v>182</v>
      </c>
      <c r="E76" t="s">
        <v>183</v>
      </c>
      <c r="F76" t="s">
        <v>184</v>
      </c>
      <c r="G76" s="56" t="s">
        <v>185</v>
      </c>
      <c r="H76" t="s">
        <v>185</v>
      </c>
      <c r="I76" t="s">
        <v>185</v>
      </c>
      <c r="J76" t="s">
        <v>185</v>
      </c>
      <c r="K76" t="s">
        <v>185</v>
      </c>
      <c r="L76" t="s">
        <v>185</v>
      </c>
      <c r="M76" t="s">
        <v>185</v>
      </c>
      <c r="N76" t="s">
        <v>629</v>
      </c>
      <c r="O76">
        <v>560286</v>
      </c>
      <c r="P76" t="s">
        <v>72</v>
      </c>
      <c r="Q76" t="s">
        <v>630</v>
      </c>
      <c r="R76" t="s">
        <v>631</v>
      </c>
      <c r="S76">
        <v>420352693231</v>
      </c>
      <c r="T76" t="s">
        <v>632</v>
      </c>
      <c r="U76" t="s">
        <v>633</v>
      </c>
      <c r="V76" t="s">
        <v>106</v>
      </c>
      <c r="W76" t="s">
        <v>104</v>
      </c>
      <c r="X76">
        <f>+VLOOKUP(O76,[1]DATA!$B$37:$AW$170,48,0)</f>
        <v>21908</v>
      </c>
    </row>
    <row r="77" spans="1:24">
      <c r="A77">
        <v>70995796</v>
      </c>
      <c r="B77" t="s">
        <v>634</v>
      </c>
      <c r="C77" t="s">
        <v>181</v>
      </c>
      <c r="D77" t="s">
        <v>182</v>
      </c>
      <c r="E77" t="s">
        <v>183</v>
      </c>
      <c r="F77" t="s">
        <v>184</v>
      </c>
      <c r="G77" s="55" t="s">
        <v>184</v>
      </c>
      <c r="H77" t="s">
        <v>185</v>
      </c>
      <c r="I77" t="s">
        <v>185</v>
      </c>
      <c r="J77" t="s">
        <v>185</v>
      </c>
      <c r="K77" t="s">
        <v>185</v>
      </c>
      <c r="L77" t="s">
        <v>185</v>
      </c>
      <c r="M77" t="s">
        <v>185</v>
      </c>
      <c r="N77" t="s">
        <v>635</v>
      </c>
      <c r="O77">
        <v>539112</v>
      </c>
      <c r="P77" t="s">
        <v>636</v>
      </c>
      <c r="Q77" t="s">
        <v>637</v>
      </c>
      <c r="R77" t="s">
        <v>638</v>
      </c>
      <c r="S77">
        <v>420354691307</v>
      </c>
      <c r="T77" t="s">
        <v>639</v>
      </c>
      <c r="U77" t="s">
        <v>640</v>
      </c>
      <c r="V77" t="s">
        <v>100</v>
      </c>
      <c r="W77" t="s">
        <v>97</v>
      </c>
      <c r="X77">
        <f>+VLOOKUP(O77,[1]DATA!$B$37:$AW$170,48,0)</f>
        <v>494</v>
      </c>
    </row>
    <row r="78" spans="1:24">
      <c r="A78">
        <v>19277342</v>
      </c>
      <c r="B78" t="s">
        <v>641</v>
      </c>
      <c r="C78" t="s">
        <v>181</v>
      </c>
      <c r="D78" t="s">
        <v>182</v>
      </c>
      <c r="E78" t="s">
        <v>183</v>
      </c>
      <c r="F78" t="s">
        <v>184</v>
      </c>
      <c r="G78" s="55" t="s">
        <v>184</v>
      </c>
      <c r="H78" t="s">
        <v>185</v>
      </c>
      <c r="I78" t="s">
        <v>185</v>
      </c>
      <c r="J78" t="s">
        <v>185</v>
      </c>
      <c r="K78" t="s">
        <v>185</v>
      </c>
      <c r="L78" t="s">
        <v>185</v>
      </c>
      <c r="M78" t="s">
        <v>185</v>
      </c>
      <c r="N78" t="s">
        <v>642</v>
      </c>
      <c r="O78">
        <v>560413</v>
      </c>
      <c r="P78" t="s">
        <v>643</v>
      </c>
      <c r="Q78" t="s">
        <v>644</v>
      </c>
      <c r="R78" t="s">
        <v>645</v>
      </c>
      <c r="S78">
        <v>420702848275</v>
      </c>
      <c r="T78" t="s">
        <v>646</v>
      </c>
      <c r="U78" t="s">
        <v>647</v>
      </c>
      <c r="V78" t="s">
        <v>105</v>
      </c>
      <c r="W78" t="s">
        <v>104</v>
      </c>
      <c r="X78">
        <f>+VLOOKUP(O78,[1]DATA!$B$37:$AW$170,48,0)</f>
        <v>543</v>
      </c>
    </row>
    <row r="79" spans="1:24">
      <c r="A79">
        <v>70978611</v>
      </c>
      <c r="B79" t="s">
        <v>648</v>
      </c>
      <c r="C79" t="s">
        <v>181</v>
      </c>
      <c r="D79" t="s">
        <v>182</v>
      </c>
      <c r="E79" t="s">
        <v>183</v>
      </c>
      <c r="F79" t="s">
        <v>184</v>
      </c>
      <c r="G79" s="55" t="s">
        <v>184</v>
      </c>
      <c r="H79" t="s">
        <v>185</v>
      </c>
      <c r="I79" t="s">
        <v>185</v>
      </c>
      <c r="J79" t="s">
        <v>185</v>
      </c>
      <c r="K79" t="s">
        <v>185</v>
      </c>
      <c r="L79" t="s">
        <v>185</v>
      </c>
      <c r="M79" t="s">
        <v>185</v>
      </c>
      <c r="N79" t="s">
        <v>649</v>
      </c>
      <c r="O79">
        <v>554880</v>
      </c>
      <c r="P79" t="s">
        <v>650</v>
      </c>
      <c r="Q79" t="s">
        <v>651</v>
      </c>
      <c r="R79" t="s">
        <v>652</v>
      </c>
      <c r="S79">
        <v>420354694680</v>
      </c>
      <c r="T79" t="s">
        <v>653</v>
      </c>
      <c r="U79" t="s">
        <v>654</v>
      </c>
      <c r="V79" t="s">
        <v>100</v>
      </c>
      <c r="W79" t="s">
        <v>97</v>
      </c>
      <c r="X79">
        <f>+VLOOKUP(O79,[1]DATA!$B$37:$AW$170,48,0)</f>
        <v>1072</v>
      </c>
    </row>
    <row r="80" spans="1:24" hidden="1">
      <c r="A80">
        <v>75007100</v>
      </c>
      <c r="B80" t="s">
        <v>655</v>
      </c>
      <c r="C80" t="s">
        <v>181</v>
      </c>
      <c r="D80" t="s">
        <v>182</v>
      </c>
      <c r="E80" t="s">
        <v>183</v>
      </c>
      <c r="F80" t="s">
        <v>184</v>
      </c>
      <c r="G80" s="56" t="s">
        <v>185</v>
      </c>
      <c r="H80" t="s">
        <v>185</v>
      </c>
      <c r="I80" t="s">
        <v>185</v>
      </c>
      <c r="J80" t="s">
        <v>185</v>
      </c>
      <c r="K80" t="s">
        <v>185</v>
      </c>
      <c r="L80" t="s">
        <v>185</v>
      </c>
      <c r="M80" t="s">
        <v>185</v>
      </c>
      <c r="N80" t="s">
        <v>656</v>
      </c>
      <c r="O80">
        <v>560324</v>
      </c>
      <c r="P80" t="s">
        <v>657</v>
      </c>
      <c r="Q80" t="s">
        <v>658</v>
      </c>
      <c r="R80" t="s">
        <v>659</v>
      </c>
      <c r="S80">
        <v>420775867594</v>
      </c>
      <c r="T80" t="s">
        <v>660</v>
      </c>
      <c r="U80" t="s">
        <v>661</v>
      </c>
      <c r="V80" t="s">
        <v>106</v>
      </c>
      <c r="W80" t="s">
        <v>104</v>
      </c>
      <c r="X80">
        <f>+VLOOKUP(O80,[1]DATA!$B$37:$AW$170,48,0)</f>
        <v>838</v>
      </c>
    </row>
    <row r="81" spans="1:24">
      <c r="A81">
        <v>60610981</v>
      </c>
      <c r="B81" t="s">
        <v>662</v>
      </c>
      <c r="C81" t="s">
        <v>181</v>
      </c>
      <c r="D81" t="s">
        <v>182</v>
      </c>
      <c r="E81" t="s">
        <v>183</v>
      </c>
      <c r="F81" t="s">
        <v>184</v>
      </c>
      <c r="G81" s="55" t="s">
        <v>184</v>
      </c>
      <c r="H81" t="s">
        <v>185</v>
      </c>
      <c r="I81" t="s">
        <v>185</v>
      </c>
      <c r="J81" t="s">
        <v>185</v>
      </c>
      <c r="K81" t="s">
        <v>185</v>
      </c>
      <c r="L81" t="s">
        <v>185</v>
      </c>
      <c r="M81" t="s">
        <v>185</v>
      </c>
      <c r="N81" t="s">
        <v>663</v>
      </c>
      <c r="O81">
        <v>554600</v>
      </c>
      <c r="P81" t="s">
        <v>664</v>
      </c>
      <c r="Q81" t="s">
        <v>665</v>
      </c>
      <c r="R81" t="s">
        <v>666</v>
      </c>
      <c r="S81">
        <v>420354691209</v>
      </c>
      <c r="T81" t="s">
        <v>667</v>
      </c>
      <c r="U81" t="s">
        <v>668</v>
      </c>
      <c r="V81" t="s">
        <v>100</v>
      </c>
      <c r="W81" t="s">
        <v>97</v>
      </c>
      <c r="X81">
        <f>+VLOOKUP(O81,[1]DATA!$B$37:$AW$170,48,0)</f>
        <v>1403</v>
      </c>
    </row>
    <row r="82" spans="1:24" hidden="1">
      <c r="A82">
        <v>75006928</v>
      </c>
      <c r="B82" t="s">
        <v>669</v>
      </c>
      <c r="C82" t="s">
        <v>181</v>
      </c>
      <c r="D82" t="s">
        <v>182</v>
      </c>
      <c r="E82" t="s">
        <v>183</v>
      </c>
      <c r="F82" t="s">
        <v>184</v>
      </c>
      <c r="G82" s="56" t="s">
        <v>185</v>
      </c>
      <c r="H82" t="s">
        <v>185</v>
      </c>
      <c r="I82" t="s">
        <v>185</v>
      </c>
      <c r="J82" t="s">
        <v>185</v>
      </c>
      <c r="K82" t="s">
        <v>185</v>
      </c>
      <c r="L82" t="s">
        <v>185</v>
      </c>
      <c r="M82" t="s">
        <v>185</v>
      </c>
      <c r="N82" t="s">
        <v>670</v>
      </c>
      <c r="O82">
        <v>560545</v>
      </c>
      <c r="P82" t="s">
        <v>671</v>
      </c>
      <c r="Q82" t="s">
        <v>672</v>
      </c>
      <c r="R82" t="s">
        <v>673</v>
      </c>
      <c r="S82">
        <v>420352600221</v>
      </c>
      <c r="T82" t="s">
        <v>674</v>
      </c>
      <c r="U82" t="s">
        <v>675</v>
      </c>
      <c r="V82" t="s">
        <v>106</v>
      </c>
      <c r="W82" t="s">
        <v>104</v>
      </c>
      <c r="X82">
        <f>+VLOOKUP(O82,[1]DATA!$B$37:$AW$170,48,0)</f>
        <v>1344</v>
      </c>
    </row>
    <row r="83" spans="1:24">
      <c r="A83">
        <v>75006936</v>
      </c>
      <c r="B83" t="s">
        <v>676</v>
      </c>
      <c r="C83" t="s">
        <v>181</v>
      </c>
      <c r="D83" t="s">
        <v>182</v>
      </c>
      <c r="E83" t="s">
        <v>183</v>
      </c>
      <c r="F83" t="s">
        <v>185</v>
      </c>
      <c r="G83" s="55" t="s">
        <v>184</v>
      </c>
      <c r="H83" t="s">
        <v>185</v>
      </c>
      <c r="I83" t="s">
        <v>185</v>
      </c>
      <c r="J83" t="s">
        <v>185</v>
      </c>
      <c r="K83" t="s">
        <v>185</v>
      </c>
      <c r="L83" t="s">
        <v>185</v>
      </c>
      <c r="M83" t="s">
        <v>185</v>
      </c>
      <c r="N83" t="s">
        <v>677</v>
      </c>
      <c r="O83">
        <v>560545</v>
      </c>
      <c r="P83" t="s">
        <v>671</v>
      </c>
      <c r="Q83" t="s">
        <v>678</v>
      </c>
      <c r="R83" t="s">
        <v>679</v>
      </c>
      <c r="S83">
        <v>420352600231</v>
      </c>
      <c r="T83" t="s">
        <v>680</v>
      </c>
      <c r="U83" t="s">
        <v>681</v>
      </c>
      <c r="V83" t="s">
        <v>106</v>
      </c>
      <c r="W83" t="s">
        <v>104</v>
      </c>
      <c r="X83">
        <f>+VLOOKUP(O83,[1]DATA!$B$37:$AW$170,48,0)</f>
        <v>1344</v>
      </c>
    </row>
    <row r="84" spans="1:24" hidden="1">
      <c r="A84">
        <v>69978972</v>
      </c>
      <c r="B84" t="s">
        <v>682</v>
      </c>
      <c r="C84" t="s">
        <v>181</v>
      </c>
      <c r="D84" t="s">
        <v>182</v>
      </c>
      <c r="E84" t="s">
        <v>183</v>
      </c>
      <c r="F84" t="s">
        <v>185</v>
      </c>
      <c r="G84" s="56" t="s">
        <v>185</v>
      </c>
      <c r="H84" t="s">
        <v>185</v>
      </c>
      <c r="I84" t="s">
        <v>185</v>
      </c>
      <c r="J84" t="s">
        <v>185</v>
      </c>
      <c r="K84" t="s">
        <v>184</v>
      </c>
      <c r="L84" t="s">
        <v>185</v>
      </c>
      <c r="M84" t="s">
        <v>185</v>
      </c>
      <c r="N84" t="s">
        <v>683</v>
      </c>
      <c r="O84">
        <v>560286</v>
      </c>
      <c r="P84" t="s">
        <v>72</v>
      </c>
      <c r="Q84" t="s">
        <v>684</v>
      </c>
      <c r="R84" t="s">
        <v>685</v>
      </c>
      <c r="S84">
        <v>420727815051</v>
      </c>
      <c r="T84" t="s">
        <v>686</v>
      </c>
      <c r="U84" t="s">
        <v>687</v>
      </c>
      <c r="V84" t="s">
        <v>106</v>
      </c>
      <c r="W84" t="s">
        <v>104</v>
      </c>
      <c r="X84">
        <f>+VLOOKUP(O84,[1]DATA!$B$37:$AW$170,48,0)</f>
        <v>21908</v>
      </c>
    </row>
    <row r="85" spans="1:24" hidden="1">
      <c r="A85">
        <v>60611677</v>
      </c>
      <c r="B85" t="s">
        <v>688</v>
      </c>
      <c r="C85" t="s">
        <v>181</v>
      </c>
      <c r="D85" t="s">
        <v>182</v>
      </c>
      <c r="E85" t="s">
        <v>183</v>
      </c>
      <c r="F85" t="s">
        <v>184</v>
      </c>
      <c r="G85" s="56" t="s">
        <v>185</v>
      </c>
      <c r="H85" t="s">
        <v>185</v>
      </c>
      <c r="I85" t="s">
        <v>185</v>
      </c>
      <c r="J85" t="s">
        <v>185</v>
      </c>
      <c r="K85" t="s">
        <v>185</v>
      </c>
      <c r="L85" t="s">
        <v>185</v>
      </c>
      <c r="M85" t="s">
        <v>185</v>
      </c>
      <c r="N85" t="s">
        <v>689</v>
      </c>
      <c r="O85">
        <v>560286</v>
      </c>
      <c r="P85" t="s">
        <v>72</v>
      </c>
      <c r="Q85" t="s">
        <v>690</v>
      </c>
      <c r="R85" t="s">
        <v>691</v>
      </c>
      <c r="S85">
        <v>420359808401</v>
      </c>
      <c r="T85" t="s">
        <v>692</v>
      </c>
      <c r="U85" t="s">
        <v>693</v>
      </c>
      <c r="V85" t="s">
        <v>106</v>
      </c>
      <c r="W85" t="s">
        <v>104</v>
      </c>
      <c r="X85">
        <f>+VLOOKUP(O85,[1]DATA!$B$37:$AW$170,48,0)</f>
        <v>21908</v>
      </c>
    </row>
    <row r="86" spans="1:24">
      <c r="A86">
        <v>69978751</v>
      </c>
      <c r="B86" t="s">
        <v>694</v>
      </c>
      <c r="C86" t="s">
        <v>181</v>
      </c>
      <c r="D86" t="s">
        <v>182</v>
      </c>
      <c r="E86" t="s">
        <v>183</v>
      </c>
      <c r="F86" t="s">
        <v>185</v>
      </c>
      <c r="G86" s="55" t="s">
        <v>184</v>
      </c>
      <c r="H86" t="s">
        <v>185</v>
      </c>
      <c r="I86" t="s">
        <v>185</v>
      </c>
      <c r="J86" t="s">
        <v>185</v>
      </c>
      <c r="K86" t="s">
        <v>185</v>
      </c>
      <c r="L86" t="s">
        <v>185</v>
      </c>
      <c r="M86" t="s">
        <v>185</v>
      </c>
      <c r="N86" t="s">
        <v>695</v>
      </c>
      <c r="O86">
        <v>560286</v>
      </c>
      <c r="P86" t="s">
        <v>72</v>
      </c>
      <c r="Q86" t="s">
        <v>696</v>
      </c>
      <c r="R86" t="s">
        <v>697</v>
      </c>
      <c r="S86">
        <v>420352324050</v>
      </c>
      <c r="T86" t="s">
        <v>698</v>
      </c>
      <c r="U86" t="s">
        <v>699</v>
      </c>
      <c r="V86" t="s">
        <v>106</v>
      </c>
      <c r="W86" t="s">
        <v>104</v>
      </c>
      <c r="X86">
        <f>+VLOOKUP(O86,[1]DATA!$B$37:$AW$170,48,0)</f>
        <v>21908</v>
      </c>
    </row>
    <row r="87" spans="1:24" hidden="1">
      <c r="A87">
        <v>75005794</v>
      </c>
      <c r="B87" t="s">
        <v>700</v>
      </c>
      <c r="C87" t="s">
        <v>181</v>
      </c>
      <c r="D87" t="s">
        <v>182</v>
      </c>
      <c r="E87" t="s">
        <v>183</v>
      </c>
      <c r="F87" t="s">
        <v>184</v>
      </c>
      <c r="G87" s="56" t="s">
        <v>185</v>
      </c>
      <c r="H87" t="s">
        <v>185</v>
      </c>
      <c r="I87" t="s">
        <v>185</v>
      </c>
      <c r="J87" t="s">
        <v>185</v>
      </c>
      <c r="K87" t="s">
        <v>185</v>
      </c>
      <c r="L87" t="s">
        <v>185</v>
      </c>
      <c r="M87" t="s">
        <v>185</v>
      </c>
      <c r="N87" t="s">
        <v>701</v>
      </c>
      <c r="O87">
        <v>560294</v>
      </c>
      <c r="P87" t="s">
        <v>702</v>
      </c>
      <c r="Q87" t="s">
        <v>703</v>
      </c>
      <c r="R87" t="s">
        <v>704</v>
      </c>
      <c r="S87">
        <v>420352661338</v>
      </c>
      <c r="T87" t="s">
        <v>705</v>
      </c>
      <c r="U87" t="s">
        <v>706</v>
      </c>
      <c r="V87" t="s">
        <v>106</v>
      </c>
      <c r="W87" t="s">
        <v>104</v>
      </c>
      <c r="X87">
        <f>+VLOOKUP(O87,[1]DATA!$B$37:$AW$170,48,0)</f>
        <v>2640</v>
      </c>
    </row>
    <row r="88" spans="1:24" hidden="1">
      <c r="A88">
        <v>75007185</v>
      </c>
      <c r="B88" t="s">
        <v>707</v>
      </c>
      <c r="C88" t="s">
        <v>181</v>
      </c>
      <c r="D88" t="s">
        <v>182</v>
      </c>
      <c r="E88" t="s">
        <v>183</v>
      </c>
      <c r="F88" t="s">
        <v>184</v>
      </c>
      <c r="G88" s="56" t="s">
        <v>185</v>
      </c>
      <c r="H88" t="s">
        <v>185</v>
      </c>
      <c r="I88" t="s">
        <v>185</v>
      </c>
      <c r="J88" t="s">
        <v>185</v>
      </c>
      <c r="K88" t="s">
        <v>185</v>
      </c>
      <c r="L88" t="s">
        <v>185</v>
      </c>
      <c r="M88" t="s">
        <v>185</v>
      </c>
      <c r="N88" t="s">
        <v>708</v>
      </c>
      <c r="O88">
        <v>538591</v>
      </c>
      <c r="P88" t="s">
        <v>709</v>
      </c>
      <c r="Q88" t="s">
        <v>710</v>
      </c>
      <c r="R88" t="s">
        <v>711</v>
      </c>
      <c r="S88">
        <v>420352628914</v>
      </c>
      <c r="T88" t="s">
        <v>712</v>
      </c>
      <c r="U88" t="s">
        <v>713</v>
      </c>
      <c r="V88" t="s">
        <v>106</v>
      </c>
      <c r="W88" t="s">
        <v>104</v>
      </c>
      <c r="X88">
        <f>+VLOOKUP(O88,[1]DATA!$B$37:$AW$170,48,0)</f>
        <v>1280</v>
      </c>
    </row>
    <row r="89" spans="1:24" hidden="1">
      <c r="A89">
        <v>70947902</v>
      </c>
      <c r="B89" t="s">
        <v>714</v>
      </c>
      <c r="C89" t="s">
        <v>181</v>
      </c>
      <c r="D89" t="s">
        <v>182</v>
      </c>
      <c r="E89" t="s">
        <v>183</v>
      </c>
      <c r="F89" t="s">
        <v>184</v>
      </c>
      <c r="G89" s="56" t="s">
        <v>185</v>
      </c>
      <c r="H89" t="s">
        <v>185</v>
      </c>
      <c r="I89" t="s">
        <v>185</v>
      </c>
      <c r="J89" t="s">
        <v>185</v>
      </c>
      <c r="K89" t="s">
        <v>185</v>
      </c>
      <c r="L89" t="s">
        <v>185</v>
      </c>
      <c r="M89" t="s">
        <v>185</v>
      </c>
      <c r="N89" t="s">
        <v>715</v>
      </c>
      <c r="O89">
        <v>560286</v>
      </c>
      <c r="P89" t="s">
        <v>72</v>
      </c>
      <c r="Q89" t="s">
        <v>716</v>
      </c>
      <c r="R89" t="s">
        <v>717</v>
      </c>
      <c r="S89">
        <v>420359808407</v>
      </c>
      <c r="T89" t="s">
        <v>718</v>
      </c>
      <c r="U89" t="s">
        <v>719</v>
      </c>
      <c r="V89" t="s">
        <v>106</v>
      </c>
      <c r="W89" t="s">
        <v>104</v>
      </c>
      <c r="X89">
        <f>+VLOOKUP(O89,[1]DATA!$B$37:$AW$170,48,0)</f>
        <v>21908</v>
      </c>
    </row>
    <row r="90" spans="1:24">
      <c r="A90">
        <v>75005760</v>
      </c>
      <c r="B90" t="s">
        <v>720</v>
      </c>
      <c r="C90" t="s">
        <v>181</v>
      </c>
      <c r="D90" t="s">
        <v>182</v>
      </c>
      <c r="E90" t="s">
        <v>183</v>
      </c>
      <c r="F90" t="s">
        <v>185</v>
      </c>
      <c r="G90" s="55" t="s">
        <v>184</v>
      </c>
      <c r="H90" t="s">
        <v>185</v>
      </c>
      <c r="I90" t="s">
        <v>185</v>
      </c>
      <c r="J90" t="s">
        <v>185</v>
      </c>
      <c r="K90" t="s">
        <v>185</v>
      </c>
      <c r="L90" t="s">
        <v>185</v>
      </c>
      <c r="M90" t="s">
        <v>185</v>
      </c>
      <c r="N90" t="s">
        <v>721</v>
      </c>
      <c r="O90">
        <v>560294</v>
      </c>
      <c r="P90" t="s">
        <v>702</v>
      </c>
      <c r="Q90" t="s">
        <v>722</v>
      </c>
      <c r="R90" t="s">
        <v>723</v>
      </c>
      <c r="S90">
        <v>420352633540</v>
      </c>
      <c r="T90" t="s">
        <v>724</v>
      </c>
      <c r="U90" t="s">
        <v>725</v>
      </c>
      <c r="V90" t="s">
        <v>106</v>
      </c>
      <c r="W90" t="s">
        <v>104</v>
      </c>
      <c r="X90">
        <f>+VLOOKUP(O90,[1]DATA!$B$37:$AW$170,48,0)</f>
        <v>2640</v>
      </c>
    </row>
    <row r="91" spans="1:24">
      <c r="A91">
        <v>69979073</v>
      </c>
      <c r="B91" t="s">
        <v>726</v>
      </c>
      <c r="C91" t="s">
        <v>181</v>
      </c>
      <c r="D91" t="s">
        <v>182</v>
      </c>
      <c r="E91" t="s">
        <v>183</v>
      </c>
      <c r="F91" t="s">
        <v>185</v>
      </c>
      <c r="G91" s="55" t="s">
        <v>184</v>
      </c>
      <c r="H91" t="s">
        <v>185</v>
      </c>
      <c r="I91" t="s">
        <v>185</v>
      </c>
      <c r="J91" t="s">
        <v>185</v>
      </c>
      <c r="K91" t="s">
        <v>185</v>
      </c>
      <c r="L91" t="s">
        <v>185</v>
      </c>
      <c r="M91" t="s">
        <v>185</v>
      </c>
      <c r="N91" t="s">
        <v>727</v>
      </c>
      <c r="O91">
        <v>560286</v>
      </c>
      <c r="P91" t="s">
        <v>72</v>
      </c>
      <c r="Q91" t="s">
        <v>728</v>
      </c>
      <c r="R91" t="s">
        <v>729</v>
      </c>
      <c r="S91">
        <v>420724396335</v>
      </c>
      <c r="T91" t="s">
        <v>730</v>
      </c>
      <c r="U91" t="s">
        <v>731</v>
      </c>
      <c r="V91" t="s">
        <v>106</v>
      </c>
      <c r="W91" t="s">
        <v>104</v>
      </c>
      <c r="X91">
        <f>+VLOOKUP(O91,[1]DATA!$B$37:$AW$170,48,0)</f>
        <v>21908</v>
      </c>
    </row>
    <row r="92" spans="1:24">
      <c r="A92">
        <v>69459924</v>
      </c>
      <c r="B92" t="s">
        <v>732</v>
      </c>
      <c r="C92" t="s">
        <v>181</v>
      </c>
      <c r="D92" t="s">
        <v>182</v>
      </c>
      <c r="E92" t="s">
        <v>183</v>
      </c>
      <c r="F92" t="s">
        <v>185</v>
      </c>
      <c r="G92" s="55" t="s">
        <v>184</v>
      </c>
      <c r="H92" t="s">
        <v>185</v>
      </c>
      <c r="I92" t="s">
        <v>185</v>
      </c>
      <c r="J92" t="s">
        <v>185</v>
      </c>
      <c r="K92" t="s">
        <v>185</v>
      </c>
      <c r="L92" t="s">
        <v>185</v>
      </c>
      <c r="M92" t="s">
        <v>185</v>
      </c>
      <c r="N92" t="s">
        <v>733</v>
      </c>
      <c r="O92">
        <v>560286</v>
      </c>
      <c r="P92" t="s">
        <v>72</v>
      </c>
      <c r="Q92" t="s">
        <v>734</v>
      </c>
      <c r="R92" t="s">
        <v>735</v>
      </c>
      <c r="S92">
        <v>420352621321</v>
      </c>
      <c r="T92" t="s">
        <v>736</v>
      </c>
      <c r="U92" t="s">
        <v>737</v>
      </c>
      <c r="V92" t="s">
        <v>106</v>
      </c>
      <c r="W92" t="s">
        <v>104</v>
      </c>
      <c r="X92">
        <f>+VLOOKUP(O92,[1]DATA!$B$37:$AW$170,48,0)</f>
        <v>21908</v>
      </c>
    </row>
    <row r="93" spans="1:24" hidden="1">
      <c r="A93">
        <v>75005786</v>
      </c>
      <c r="B93" t="s">
        <v>738</v>
      </c>
      <c r="C93" t="s">
        <v>181</v>
      </c>
      <c r="D93" t="s">
        <v>182</v>
      </c>
      <c r="E93" t="s">
        <v>183</v>
      </c>
      <c r="F93" t="s">
        <v>184</v>
      </c>
      <c r="G93" s="56" t="s">
        <v>185</v>
      </c>
      <c r="H93" t="s">
        <v>185</v>
      </c>
      <c r="I93" t="s">
        <v>185</v>
      </c>
      <c r="J93" t="s">
        <v>185</v>
      </c>
      <c r="K93" t="s">
        <v>185</v>
      </c>
      <c r="L93" t="s">
        <v>185</v>
      </c>
      <c r="M93" t="s">
        <v>185</v>
      </c>
      <c r="N93" t="s">
        <v>739</v>
      </c>
      <c r="O93">
        <v>560294</v>
      </c>
      <c r="P93" t="s">
        <v>702</v>
      </c>
      <c r="Q93" t="s">
        <v>740</v>
      </c>
      <c r="R93" t="s">
        <v>741</v>
      </c>
      <c r="S93">
        <v>420352661336</v>
      </c>
      <c r="T93" t="s">
        <v>742</v>
      </c>
      <c r="U93" t="s">
        <v>743</v>
      </c>
      <c r="V93" t="s">
        <v>106</v>
      </c>
      <c r="W93" t="s">
        <v>104</v>
      </c>
      <c r="X93">
        <f>+VLOOKUP(O93,[1]DATA!$B$37:$AW$170,48,0)</f>
        <v>2640</v>
      </c>
    </row>
    <row r="94" spans="1:24" hidden="1">
      <c r="A94">
        <v>70834598</v>
      </c>
      <c r="B94" t="s">
        <v>744</v>
      </c>
      <c r="C94" t="s">
        <v>181</v>
      </c>
      <c r="D94" t="s">
        <v>182</v>
      </c>
      <c r="E94" t="s">
        <v>183</v>
      </c>
      <c r="F94" t="s">
        <v>184</v>
      </c>
      <c r="G94" s="56" t="s">
        <v>185</v>
      </c>
      <c r="H94" t="s">
        <v>185</v>
      </c>
      <c r="I94" t="s">
        <v>185</v>
      </c>
      <c r="J94" t="s">
        <v>185</v>
      </c>
      <c r="K94" t="s">
        <v>185</v>
      </c>
      <c r="L94" t="s">
        <v>185</v>
      </c>
      <c r="M94" t="s">
        <v>185</v>
      </c>
      <c r="N94" t="s">
        <v>745</v>
      </c>
      <c r="O94">
        <v>560286</v>
      </c>
      <c r="P94" t="s">
        <v>72</v>
      </c>
      <c r="Q94" t="s">
        <v>746</v>
      </c>
      <c r="R94" t="s">
        <v>747</v>
      </c>
      <c r="S94">
        <v>420359808403</v>
      </c>
      <c r="T94" t="s">
        <v>748</v>
      </c>
      <c r="U94" t="s">
        <v>749</v>
      </c>
      <c r="V94" t="s">
        <v>106</v>
      </c>
      <c r="W94" t="s">
        <v>104</v>
      </c>
      <c r="X94">
        <f>+VLOOKUP(O94,[1]DATA!$B$37:$AW$170,48,0)</f>
        <v>21908</v>
      </c>
    </row>
    <row r="95" spans="1:24" hidden="1">
      <c r="A95">
        <v>60611693</v>
      </c>
      <c r="B95" t="s">
        <v>750</v>
      </c>
      <c r="C95" t="s">
        <v>181</v>
      </c>
      <c r="D95" t="s">
        <v>182</v>
      </c>
      <c r="E95" t="s">
        <v>183</v>
      </c>
      <c r="F95" t="s">
        <v>184</v>
      </c>
      <c r="G95" s="56" t="s">
        <v>185</v>
      </c>
      <c r="H95" t="s">
        <v>185</v>
      </c>
      <c r="I95" t="s">
        <v>185</v>
      </c>
      <c r="J95" t="s">
        <v>185</v>
      </c>
      <c r="K95" t="s">
        <v>185</v>
      </c>
      <c r="L95" t="s">
        <v>185</v>
      </c>
      <c r="M95" t="s">
        <v>185</v>
      </c>
      <c r="N95" t="s">
        <v>751</v>
      </c>
      <c r="O95">
        <v>560286</v>
      </c>
      <c r="P95" t="s">
        <v>72</v>
      </c>
      <c r="Q95" t="s">
        <v>752</v>
      </c>
      <c r="R95" t="s">
        <v>753</v>
      </c>
      <c r="S95">
        <v>420359808404</v>
      </c>
      <c r="T95" t="s">
        <v>754</v>
      </c>
      <c r="U95" t="s">
        <v>755</v>
      </c>
      <c r="V95" t="s">
        <v>106</v>
      </c>
      <c r="W95" t="s">
        <v>104</v>
      </c>
      <c r="X95">
        <f>+VLOOKUP(O95,[1]DATA!$B$37:$AW$170,48,0)</f>
        <v>21908</v>
      </c>
    </row>
    <row r="96" spans="1:24" hidden="1">
      <c r="A96">
        <v>71238930</v>
      </c>
      <c r="B96" t="s">
        <v>756</v>
      </c>
      <c r="C96" t="s">
        <v>181</v>
      </c>
      <c r="D96" t="s">
        <v>182</v>
      </c>
      <c r="E96" t="s">
        <v>183</v>
      </c>
      <c r="F96" t="s">
        <v>185</v>
      </c>
      <c r="G96" s="56" t="s">
        <v>185</v>
      </c>
      <c r="H96" t="s">
        <v>185</v>
      </c>
      <c r="I96" t="s">
        <v>185</v>
      </c>
      <c r="J96" t="s">
        <v>185</v>
      </c>
      <c r="K96" t="s">
        <v>185</v>
      </c>
      <c r="L96" t="s">
        <v>184</v>
      </c>
      <c r="M96" t="s">
        <v>185</v>
      </c>
      <c r="N96" t="s">
        <v>757</v>
      </c>
      <c r="O96">
        <v>560286</v>
      </c>
      <c r="P96" t="s">
        <v>72</v>
      </c>
      <c r="Q96" t="s">
        <v>758</v>
      </c>
      <c r="R96" t="s">
        <v>759</v>
      </c>
      <c r="S96">
        <v>420352623368</v>
      </c>
      <c r="T96" t="s">
        <v>760</v>
      </c>
      <c r="U96" t="s">
        <v>761</v>
      </c>
      <c r="V96" t="s">
        <v>106</v>
      </c>
      <c r="W96" t="s">
        <v>104</v>
      </c>
      <c r="X96">
        <f>+VLOOKUP(O96,[1]DATA!$B$37:$AW$170,48,0)</f>
        <v>21908</v>
      </c>
    </row>
    <row r="97" spans="1:24">
      <c r="A97">
        <v>70998221</v>
      </c>
      <c r="B97" t="s">
        <v>762</v>
      </c>
      <c r="C97" t="s">
        <v>181</v>
      </c>
      <c r="D97" t="s">
        <v>182</v>
      </c>
      <c r="E97" t="s">
        <v>183</v>
      </c>
      <c r="F97" t="s">
        <v>184</v>
      </c>
      <c r="G97" s="55" t="s">
        <v>184</v>
      </c>
      <c r="H97" t="s">
        <v>185</v>
      </c>
      <c r="I97" t="s">
        <v>185</v>
      </c>
      <c r="J97" t="s">
        <v>185</v>
      </c>
      <c r="K97" t="s">
        <v>185</v>
      </c>
      <c r="L97" t="s">
        <v>185</v>
      </c>
      <c r="M97" t="s">
        <v>185</v>
      </c>
      <c r="N97" t="s">
        <v>763</v>
      </c>
      <c r="O97">
        <v>554511</v>
      </c>
      <c r="P97" t="s">
        <v>764</v>
      </c>
      <c r="Q97" t="s">
        <v>765</v>
      </c>
      <c r="R97" t="s">
        <v>766</v>
      </c>
      <c r="S97">
        <v>420773756234</v>
      </c>
      <c r="T97" t="s">
        <v>767</v>
      </c>
      <c r="U97" t="s">
        <v>768</v>
      </c>
      <c r="V97" t="s">
        <v>100</v>
      </c>
      <c r="W97" t="s">
        <v>97</v>
      </c>
      <c r="X97">
        <f>+VLOOKUP(O97,[1]DATA!$B$37:$AW$170,48,0)</f>
        <v>1046</v>
      </c>
    </row>
    <row r="98" spans="1:24">
      <c r="A98">
        <v>66359180</v>
      </c>
      <c r="B98" t="s">
        <v>769</v>
      </c>
      <c r="C98" t="s">
        <v>181</v>
      </c>
      <c r="D98" t="s">
        <v>182</v>
      </c>
      <c r="E98" t="s">
        <v>183</v>
      </c>
      <c r="F98" t="s">
        <v>185</v>
      </c>
      <c r="G98" s="55" t="s">
        <v>184</v>
      </c>
      <c r="H98" t="s">
        <v>185</v>
      </c>
      <c r="I98" t="s">
        <v>185</v>
      </c>
      <c r="J98" t="s">
        <v>185</v>
      </c>
      <c r="K98" t="s">
        <v>185</v>
      </c>
      <c r="L98" t="s">
        <v>185</v>
      </c>
      <c r="M98" t="s">
        <v>185</v>
      </c>
      <c r="N98" t="s">
        <v>770</v>
      </c>
      <c r="O98">
        <v>560286</v>
      </c>
      <c r="P98" t="s">
        <v>72</v>
      </c>
      <c r="Q98" t="s">
        <v>771</v>
      </c>
      <c r="R98" t="s">
        <v>772</v>
      </c>
      <c r="S98">
        <v>420352626955</v>
      </c>
      <c r="T98" t="s">
        <v>773</v>
      </c>
      <c r="U98" t="s">
        <v>774</v>
      </c>
      <c r="V98" t="s">
        <v>106</v>
      </c>
      <c r="W98" t="s">
        <v>104</v>
      </c>
      <c r="X98">
        <f>+VLOOKUP(O98,[1]DATA!$B$37:$AW$170,48,0)</f>
        <v>21908</v>
      </c>
    </row>
    <row r="99" spans="1:24">
      <c r="A99">
        <v>70997187</v>
      </c>
      <c r="B99" t="s">
        <v>775</v>
      </c>
      <c r="C99" t="s">
        <v>181</v>
      </c>
      <c r="D99" t="s">
        <v>182</v>
      </c>
      <c r="E99" t="s">
        <v>183</v>
      </c>
      <c r="F99" t="s">
        <v>185</v>
      </c>
      <c r="G99" s="55" t="s">
        <v>184</v>
      </c>
      <c r="H99" t="s">
        <v>185</v>
      </c>
      <c r="I99" t="s">
        <v>185</v>
      </c>
      <c r="J99" t="s">
        <v>185</v>
      </c>
      <c r="K99" t="s">
        <v>185</v>
      </c>
      <c r="L99" t="s">
        <v>185</v>
      </c>
      <c r="M99" t="s">
        <v>185</v>
      </c>
      <c r="N99" t="s">
        <v>776</v>
      </c>
      <c r="O99">
        <v>539279</v>
      </c>
      <c r="P99" t="s">
        <v>777</v>
      </c>
      <c r="Q99" t="s">
        <v>778</v>
      </c>
      <c r="R99" t="s">
        <v>779</v>
      </c>
      <c r="S99">
        <v>420354622534</v>
      </c>
      <c r="T99" t="s">
        <v>780</v>
      </c>
      <c r="U99" t="s">
        <v>781</v>
      </c>
      <c r="V99" t="s">
        <v>100</v>
      </c>
      <c r="W99" t="s">
        <v>97</v>
      </c>
      <c r="X99">
        <f>+VLOOKUP(O99,[1]DATA!$B$37:$AW$170,48,0)</f>
        <v>2483</v>
      </c>
    </row>
    <row r="100" spans="1:24" hidden="1">
      <c r="A100">
        <v>60611669</v>
      </c>
      <c r="B100" t="s">
        <v>782</v>
      </c>
      <c r="C100" t="s">
        <v>181</v>
      </c>
      <c r="D100" t="s">
        <v>182</v>
      </c>
      <c r="E100" t="s">
        <v>183</v>
      </c>
      <c r="F100" t="s">
        <v>184</v>
      </c>
      <c r="G100" s="56" t="s">
        <v>185</v>
      </c>
      <c r="H100" t="s">
        <v>185</v>
      </c>
      <c r="I100" t="s">
        <v>185</v>
      </c>
      <c r="J100" t="s">
        <v>185</v>
      </c>
      <c r="K100" t="s">
        <v>185</v>
      </c>
      <c r="L100" t="s">
        <v>185</v>
      </c>
      <c r="M100" t="s">
        <v>185</v>
      </c>
      <c r="N100" t="s">
        <v>783</v>
      </c>
      <c r="O100">
        <v>560286</v>
      </c>
      <c r="P100" t="s">
        <v>72</v>
      </c>
      <c r="Q100" t="s">
        <v>784</v>
      </c>
      <c r="R100" t="s">
        <v>785</v>
      </c>
      <c r="S100">
        <v>420359808405</v>
      </c>
      <c r="T100" t="s">
        <v>786</v>
      </c>
      <c r="U100" t="s">
        <v>787</v>
      </c>
      <c r="V100" t="s">
        <v>106</v>
      </c>
      <c r="W100" t="s">
        <v>104</v>
      </c>
      <c r="X100">
        <f>+VLOOKUP(O100,[1]DATA!$B$37:$AW$170,48,0)</f>
        <v>21908</v>
      </c>
    </row>
    <row r="101" spans="1:24">
      <c r="A101">
        <v>60611952</v>
      </c>
      <c r="B101" t="s">
        <v>788</v>
      </c>
      <c r="C101" t="s">
        <v>181</v>
      </c>
      <c r="D101" t="s">
        <v>182</v>
      </c>
      <c r="E101" t="s">
        <v>183</v>
      </c>
      <c r="F101" t="s">
        <v>184</v>
      </c>
      <c r="G101" s="55" t="s">
        <v>184</v>
      </c>
      <c r="H101" t="s">
        <v>185</v>
      </c>
      <c r="I101" t="s">
        <v>185</v>
      </c>
      <c r="J101" t="s">
        <v>185</v>
      </c>
      <c r="K101" t="s">
        <v>185</v>
      </c>
      <c r="L101" t="s">
        <v>185</v>
      </c>
      <c r="M101" t="s">
        <v>185</v>
      </c>
      <c r="N101" t="s">
        <v>789</v>
      </c>
      <c r="O101">
        <v>560618</v>
      </c>
      <c r="P101" t="s">
        <v>790</v>
      </c>
      <c r="Q101" t="s">
        <v>791</v>
      </c>
      <c r="R101" t="s">
        <v>792</v>
      </c>
      <c r="S101">
        <v>420734639749</v>
      </c>
      <c r="T101" t="s">
        <v>793</v>
      </c>
      <c r="U101" t="s">
        <v>794</v>
      </c>
      <c r="V101" t="s">
        <v>106</v>
      </c>
      <c r="W101" t="s">
        <v>104</v>
      </c>
      <c r="X101">
        <f>+VLOOKUP(O101,[1]DATA!$B$37:$AW$170,48,0)</f>
        <v>338</v>
      </c>
    </row>
    <row r="102" spans="1:24" hidden="1">
      <c r="A102">
        <v>60611685</v>
      </c>
      <c r="B102" t="s">
        <v>795</v>
      </c>
      <c r="C102" t="s">
        <v>181</v>
      </c>
      <c r="D102" t="s">
        <v>182</v>
      </c>
      <c r="E102" t="s">
        <v>183</v>
      </c>
      <c r="F102" t="s">
        <v>184</v>
      </c>
      <c r="G102" s="56" t="s">
        <v>185</v>
      </c>
      <c r="H102" t="s">
        <v>185</v>
      </c>
      <c r="I102" t="s">
        <v>185</v>
      </c>
      <c r="J102" t="s">
        <v>185</v>
      </c>
      <c r="K102" t="s">
        <v>185</v>
      </c>
      <c r="L102" t="s">
        <v>185</v>
      </c>
      <c r="M102" t="s">
        <v>185</v>
      </c>
      <c r="N102" t="s">
        <v>796</v>
      </c>
      <c r="O102">
        <v>560286</v>
      </c>
      <c r="P102" t="s">
        <v>72</v>
      </c>
      <c r="Q102" t="s">
        <v>797</v>
      </c>
      <c r="R102" t="s">
        <v>798</v>
      </c>
      <c r="S102">
        <v>420359808406</v>
      </c>
      <c r="T102" t="s">
        <v>799</v>
      </c>
      <c r="U102" t="s">
        <v>800</v>
      </c>
      <c r="V102" t="s">
        <v>106</v>
      </c>
      <c r="W102" t="s">
        <v>104</v>
      </c>
      <c r="X102">
        <f>+VLOOKUP(O102,[1]DATA!$B$37:$AW$170,48,0)</f>
        <v>21908</v>
      </c>
    </row>
    <row r="103" spans="1:24">
      <c r="A103">
        <v>69979081</v>
      </c>
      <c r="B103" t="s">
        <v>801</v>
      </c>
      <c r="C103" t="s">
        <v>181</v>
      </c>
      <c r="D103" t="s">
        <v>182</v>
      </c>
      <c r="E103" t="s">
        <v>183</v>
      </c>
      <c r="F103" t="s">
        <v>185</v>
      </c>
      <c r="G103" s="55" t="s">
        <v>184</v>
      </c>
      <c r="H103" t="s">
        <v>185</v>
      </c>
      <c r="I103" t="s">
        <v>185</v>
      </c>
      <c r="J103" t="s">
        <v>185</v>
      </c>
      <c r="K103" t="s">
        <v>185</v>
      </c>
      <c r="L103" t="s">
        <v>185</v>
      </c>
      <c r="M103" t="s">
        <v>185</v>
      </c>
      <c r="N103" t="s">
        <v>802</v>
      </c>
      <c r="O103">
        <v>560286</v>
      </c>
      <c r="P103" t="s">
        <v>72</v>
      </c>
      <c r="Q103" t="s">
        <v>803</v>
      </c>
      <c r="R103" t="s">
        <v>804</v>
      </c>
      <c r="S103">
        <v>420352623645</v>
      </c>
      <c r="T103" t="s">
        <v>805</v>
      </c>
      <c r="U103" t="s">
        <v>806</v>
      </c>
      <c r="V103" t="s">
        <v>106</v>
      </c>
      <c r="W103" t="s">
        <v>104</v>
      </c>
      <c r="X103">
        <f>+VLOOKUP(O103,[1]DATA!$B$37:$AW$170,48,0)</f>
        <v>21908</v>
      </c>
    </row>
    <row r="104" spans="1:24">
      <c r="A104">
        <v>60610441</v>
      </c>
      <c r="B104" t="s">
        <v>807</v>
      </c>
      <c r="C104" t="s">
        <v>181</v>
      </c>
      <c r="D104" t="s">
        <v>182</v>
      </c>
      <c r="E104" t="s">
        <v>183</v>
      </c>
      <c r="F104" t="s">
        <v>185</v>
      </c>
      <c r="G104" s="55" t="s">
        <v>184</v>
      </c>
      <c r="H104" t="s">
        <v>185</v>
      </c>
      <c r="I104" t="s">
        <v>185</v>
      </c>
      <c r="J104" t="s">
        <v>185</v>
      </c>
      <c r="K104" t="s">
        <v>185</v>
      </c>
      <c r="L104" t="s">
        <v>185</v>
      </c>
      <c r="M104" t="s">
        <v>185</v>
      </c>
      <c r="N104" t="s">
        <v>808</v>
      </c>
      <c r="O104">
        <v>560464</v>
      </c>
      <c r="P104" t="s">
        <v>809</v>
      </c>
      <c r="Q104" t="s">
        <v>810</v>
      </c>
      <c r="R104" t="s">
        <v>811</v>
      </c>
      <c r="S104">
        <v>420727894640</v>
      </c>
      <c r="T104" t="s">
        <v>812</v>
      </c>
      <c r="U104" t="s">
        <v>813</v>
      </c>
      <c r="V104" t="s">
        <v>106</v>
      </c>
      <c r="W104" t="s">
        <v>104</v>
      </c>
      <c r="X104">
        <f>+VLOOKUP(O104,[1]DATA!$B$37:$AW$170,48,0)</f>
        <v>768</v>
      </c>
    </row>
    <row r="105" spans="1:24" hidden="1">
      <c r="A105">
        <v>60611651</v>
      </c>
      <c r="B105" t="s">
        <v>814</v>
      </c>
      <c r="C105" t="s">
        <v>181</v>
      </c>
      <c r="D105" t="s">
        <v>182</v>
      </c>
      <c r="E105" t="s">
        <v>183</v>
      </c>
      <c r="F105" t="s">
        <v>184</v>
      </c>
      <c r="G105" s="56" t="s">
        <v>185</v>
      </c>
      <c r="H105" t="s">
        <v>185</v>
      </c>
      <c r="I105" t="s">
        <v>185</v>
      </c>
      <c r="J105" t="s">
        <v>185</v>
      </c>
      <c r="K105" t="s">
        <v>185</v>
      </c>
      <c r="L105" t="s">
        <v>185</v>
      </c>
      <c r="M105" t="s">
        <v>185</v>
      </c>
      <c r="N105" t="s">
        <v>815</v>
      </c>
      <c r="O105">
        <v>560286</v>
      </c>
      <c r="P105" t="s">
        <v>72</v>
      </c>
      <c r="Q105" t="s">
        <v>816</v>
      </c>
      <c r="R105" t="s">
        <v>817</v>
      </c>
      <c r="S105">
        <v>420359808402</v>
      </c>
      <c r="T105" t="s">
        <v>818</v>
      </c>
      <c r="U105" t="s">
        <v>819</v>
      </c>
      <c r="V105" t="s">
        <v>106</v>
      </c>
      <c r="W105" t="s">
        <v>104</v>
      </c>
      <c r="X105">
        <f>+VLOOKUP(O105,[1]DATA!$B$37:$AW$170,48,0)</f>
        <v>21908</v>
      </c>
    </row>
    <row r="106" spans="1:24" hidden="1">
      <c r="A106">
        <v>70997195</v>
      </c>
      <c r="B106" t="s">
        <v>820</v>
      </c>
      <c r="C106" t="s">
        <v>181</v>
      </c>
      <c r="D106" t="s">
        <v>182</v>
      </c>
      <c r="E106" t="s">
        <v>183</v>
      </c>
      <c r="F106" t="s">
        <v>184</v>
      </c>
      <c r="G106" s="56" t="s">
        <v>185</v>
      </c>
      <c r="H106" t="s">
        <v>185</v>
      </c>
      <c r="I106" t="s">
        <v>185</v>
      </c>
      <c r="J106" t="s">
        <v>185</v>
      </c>
      <c r="K106" t="s">
        <v>185</v>
      </c>
      <c r="L106" t="s">
        <v>185</v>
      </c>
      <c r="M106" t="s">
        <v>185</v>
      </c>
      <c r="N106" t="s">
        <v>821</v>
      </c>
      <c r="O106">
        <v>539279</v>
      </c>
      <c r="P106" t="s">
        <v>777</v>
      </c>
      <c r="Q106" t="s">
        <v>822</v>
      </c>
      <c r="R106" t="s">
        <v>823</v>
      </c>
      <c r="S106">
        <v>420354622635</v>
      </c>
      <c r="T106" t="s">
        <v>824</v>
      </c>
      <c r="U106" t="s">
        <v>825</v>
      </c>
      <c r="V106" t="s">
        <v>100</v>
      </c>
      <c r="W106" t="s">
        <v>97</v>
      </c>
      <c r="X106">
        <f>+VLOOKUP(O106,[1]DATA!$B$37:$AW$170,48,0)</f>
        <v>2483</v>
      </c>
    </row>
    <row r="107" spans="1:24" hidden="1">
      <c r="A107">
        <v>70997179</v>
      </c>
      <c r="B107" t="s">
        <v>826</v>
      </c>
      <c r="C107" t="s">
        <v>181</v>
      </c>
      <c r="D107" t="s">
        <v>182</v>
      </c>
      <c r="E107" t="s">
        <v>183</v>
      </c>
      <c r="F107" t="s">
        <v>184</v>
      </c>
      <c r="G107" s="56" t="s">
        <v>185</v>
      </c>
      <c r="H107" t="s">
        <v>185</v>
      </c>
      <c r="I107" t="s">
        <v>185</v>
      </c>
      <c r="J107" t="s">
        <v>185</v>
      </c>
      <c r="K107" t="s">
        <v>185</v>
      </c>
      <c r="L107" t="s">
        <v>185</v>
      </c>
      <c r="M107" t="s">
        <v>185</v>
      </c>
      <c r="N107" t="s">
        <v>827</v>
      </c>
      <c r="O107">
        <v>539279</v>
      </c>
      <c r="P107" t="s">
        <v>777</v>
      </c>
      <c r="Q107" t="s">
        <v>828</v>
      </c>
      <c r="R107" t="s">
        <v>829</v>
      </c>
      <c r="S107">
        <v>420354622277</v>
      </c>
      <c r="T107" t="s">
        <v>830</v>
      </c>
      <c r="U107" t="s">
        <v>831</v>
      </c>
      <c r="V107" t="s">
        <v>100</v>
      </c>
      <c r="W107" t="s">
        <v>97</v>
      </c>
      <c r="X107">
        <f>+VLOOKUP(O107,[1]DATA!$B$37:$AW$170,48,0)</f>
        <v>2483</v>
      </c>
    </row>
    <row r="108" spans="1:24" hidden="1">
      <c r="A108">
        <v>69983569</v>
      </c>
      <c r="B108" t="s">
        <v>832</v>
      </c>
      <c r="C108" t="s">
        <v>181</v>
      </c>
      <c r="D108" t="s">
        <v>182</v>
      </c>
      <c r="E108" t="s">
        <v>183</v>
      </c>
      <c r="F108" t="s">
        <v>184</v>
      </c>
      <c r="G108" s="56" t="s">
        <v>185</v>
      </c>
      <c r="H108" t="s">
        <v>185</v>
      </c>
      <c r="I108" t="s">
        <v>185</v>
      </c>
      <c r="J108" t="s">
        <v>185</v>
      </c>
      <c r="K108" t="s">
        <v>185</v>
      </c>
      <c r="L108" t="s">
        <v>185</v>
      </c>
      <c r="M108" t="s">
        <v>185</v>
      </c>
      <c r="N108" t="s">
        <v>833</v>
      </c>
      <c r="O108">
        <v>560464</v>
      </c>
      <c r="P108" t="s">
        <v>809</v>
      </c>
      <c r="Q108" t="s">
        <v>834</v>
      </c>
      <c r="R108" t="s">
        <v>835</v>
      </c>
      <c r="S108">
        <v>420352628156</v>
      </c>
      <c r="T108" t="s">
        <v>836</v>
      </c>
      <c r="U108" t="s">
        <v>837</v>
      </c>
      <c r="V108" t="s">
        <v>106</v>
      </c>
      <c r="W108" t="s">
        <v>104</v>
      </c>
      <c r="X108">
        <f>+VLOOKUP(O108,[1]DATA!$B$37:$AW$170,48,0)</f>
        <v>768</v>
      </c>
    </row>
    <row r="109" spans="1:24" hidden="1">
      <c r="A109">
        <v>71008331</v>
      </c>
      <c r="B109" t="s">
        <v>838</v>
      </c>
      <c r="C109" t="s">
        <v>181</v>
      </c>
      <c r="D109" t="s">
        <v>182</v>
      </c>
      <c r="E109" t="s">
        <v>183</v>
      </c>
      <c r="F109" t="s">
        <v>184</v>
      </c>
      <c r="G109" s="56" t="s">
        <v>185</v>
      </c>
      <c r="H109" t="s">
        <v>185</v>
      </c>
      <c r="I109" t="s">
        <v>185</v>
      </c>
      <c r="J109" t="s">
        <v>185</v>
      </c>
      <c r="K109" t="s">
        <v>185</v>
      </c>
      <c r="L109" t="s">
        <v>185</v>
      </c>
      <c r="M109" t="s">
        <v>185</v>
      </c>
      <c r="N109" t="s">
        <v>839</v>
      </c>
      <c r="O109">
        <v>554855</v>
      </c>
      <c r="P109" t="s">
        <v>840</v>
      </c>
      <c r="Q109" t="s">
        <v>841</v>
      </c>
      <c r="R109" t="s">
        <v>842</v>
      </c>
      <c r="S109">
        <v>420354671151</v>
      </c>
      <c r="T109" t="s">
        <v>843</v>
      </c>
      <c r="U109" t="s">
        <v>844</v>
      </c>
      <c r="V109" t="s">
        <v>100</v>
      </c>
      <c r="W109" t="s">
        <v>97</v>
      </c>
      <c r="X109">
        <f>+VLOOKUP(O109,[1]DATA!$B$37:$AW$170,48,0)</f>
        <v>407</v>
      </c>
    </row>
    <row r="110" spans="1:24">
      <c r="A110">
        <v>47724978</v>
      </c>
      <c r="B110" t="s">
        <v>845</v>
      </c>
      <c r="C110" t="s">
        <v>181</v>
      </c>
      <c r="D110" t="s">
        <v>182</v>
      </c>
      <c r="E110" t="s">
        <v>183</v>
      </c>
      <c r="F110" t="s">
        <v>185</v>
      </c>
      <c r="G110" s="55" t="s">
        <v>184</v>
      </c>
      <c r="H110" t="s">
        <v>185</v>
      </c>
      <c r="I110" t="s">
        <v>185</v>
      </c>
      <c r="J110" t="s">
        <v>185</v>
      </c>
      <c r="K110" t="s">
        <v>185</v>
      </c>
      <c r="L110" t="s">
        <v>185</v>
      </c>
      <c r="M110" t="s">
        <v>185</v>
      </c>
      <c r="N110" t="s">
        <v>846</v>
      </c>
      <c r="O110">
        <v>554642</v>
      </c>
      <c r="P110" t="s">
        <v>847</v>
      </c>
      <c r="Q110" t="s">
        <v>848</v>
      </c>
      <c r="R110" t="s">
        <v>849</v>
      </c>
      <c r="S110">
        <v>420354673216</v>
      </c>
      <c r="T110" t="s">
        <v>850</v>
      </c>
      <c r="U110" t="s">
        <v>851</v>
      </c>
      <c r="V110" t="s">
        <v>100</v>
      </c>
      <c r="W110" t="s">
        <v>97</v>
      </c>
      <c r="X110">
        <f>+VLOOKUP(O110,[1]DATA!$B$37:$AW$170,48,0)</f>
        <v>13921</v>
      </c>
    </row>
    <row r="111" spans="1:24" hidden="1">
      <c r="A111">
        <v>70997594</v>
      </c>
      <c r="B111" t="s">
        <v>852</v>
      </c>
      <c r="C111" t="s">
        <v>181</v>
      </c>
      <c r="D111" t="s">
        <v>182</v>
      </c>
      <c r="E111" t="s">
        <v>183</v>
      </c>
      <c r="F111" t="s">
        <v>184</v>
      </c>
      <c r="G111" s="56" t="s">
        <v>185</v>
      </c>
      <c r="H111" t="s">
        <v>185</v>
      </c>
      <c r="I111" t="s">
        <v>185</v>
      </c>
      <c r="J111" t="s">
        <v>185</v>
      </c>
      <c r="K111" t="s">
        <v>185</v>
      </c>
      <c r="L111" t="s">
        <v>185</v>
      </c>
      <c r="M111" t="s">
        <v>185</v>
      </c>
      <c r="N111" t="s">
        <v>853</v>
      </c>
      <c r="O111">
        <v>554642</v>
      </c>
      <c r="P111" t="s">
        <v>847</v>
      </c>
      <c r="Q111" t="s">
        <v>854</v>
      </c>
      <c r="R111" t="s">
        <v>855</v>
      </c>
      <c r="S111">
        <v>420354625920</v>
      </c>
      <c r="T111" t="s">
        <v>856</v>
      </c>
      <c r="U111" t="s">
        <v>857</v>
      </c>
      <c r="V111" t="s">
        <v>100</v>
      </c>
      <c r="W111" t="s">
        <v>97</v>
      </c>
      <c r="X111">
        <f>+VLOOKUP(O111,[1]DATA!$B$37:$AW$170,48,0)</f>
        <v>13921</v>
      </c>
    </row>
    <row r="112" spans="1:24">
      <c r="A112">
        <v>47723505</v>
      </c>
      <c r="B112" t="s">
        <v>858</v>
      </c>
      <c r="C112" t="s">
        <v>181</v>
      </c>
      <c r="D112" t="s">
        <v>182</v>
      </c>
      <c r="E112" t="s">
        <v>183</v>
      </c>
      <c r="F112" t="s">
        <v>185</v>
      </c>
      <c r="G112" s="55" t="s">
        <v>184</v>
      </c>
      <c r="H112" t="s">
        <v>185</v>
      </c>
      <c r="I112" t="s">
        <v>185</v>
      </c>
      <c r="J112" t="s">
        <v>185</v>
      </c>
      <c r="K112" t="s">
        <v>185</v>
      </c>
      <c r="L112" t="s">
        <v>185</v>
      </c>
      <c r="M112" t="s">
        <v>185</v>
      </c>
      <c r="N112" t="s">
        <v>859</v>
      </c>
      <c r="O112">
        <v>554642</v>
      </c>
      <c r="P112" t="s">
        <v>847</v>
      </c>
      <c r="Q112" t="s">
        <v>860</v>
      </c>
      <c r="R112" t="s">
        <v>861</v>
      </c>
      <c r="S112">
        <v>420353612008</v>
      </c>
      <c r="T112" t="s">
        <v>862</v>
      </c>
      <c r="U112" t="s">
        <v>863</v>
      </c>
      <c r="V112" t="s">
        <v>100</v>
      </c>
      <c r="W112" t="s">
        <v>97</v>
      </c>
      <c r="X112">
        <f>+VLOOKUP(O112,[1]DATA!$B$37:$AW$170,48,0)</f>
        <v>13921</v>
      </c>
    </row>
    <row r="113" spans="1:24" hidden="1">
      <c r="A113">
        <v>47721472</v>
      </c>
      <c r="B113" t="s">
        <v>864</v>
      </c>
      <c r="C113" t="s">
        <v>181</v>
      </c>
      <c r="D113" t="s">
        <v>182</v>
      </c>
      <c r="E113" t="s">
        <v>183</v>
      </c>
      <c r="F113" t="s">
        <v>185</v>
      </c>
      <c r="G113" s="56" t="s">
        <v>185</v>
      </c>
      <c r="H113" t="s">
        <v>185</v>
      </c>
      <c r="I113" t="s">
        <v>185</v>
      </c>
      <c r="J113" t="s">
        <v>185</v>
      </c>
      <c r="K113" t="s">
        <v>184</v>
      </c>
      <c r="L113" t="s">
        <v>185</v>
      </c>
      <c r="M113" t="s">
        <v>185</v>
      </c>
      <c r="N113" t="s">
        <v>865</v>
      </c>
      <c r="O113">
        <v>554642</v>
      </c>
      <c r="P113" t="s">
        <v>847</v>
      </c>
      <c r="Q113" t="s">
        <v>866</v>
      </c>
      <c r="R113" t="s">
        <v>867</v>
      </c>
      <c r="S113">
        <v>420354625280</v>
      </c>
      <c r="T113" t="s">
        <v>868</v>
      </c>
      <c r="U113" t="s">
        <v>869</v>
      </c>
      <c r="V113" t="s">
        <v>100</v>
      </c>
      <c r="W113" t="s">
        <v>97</v>
      </c>
      <c r="X113">
        <f>+VLOOKUP(O113,[1]DATA!$B$37:$AW$170,48,0)</f>
        <v>13921</v>
      </c>
    </row>
    <row r="114" spans="1:24" hidden="1">
      <c r="A114">
        <v>47723483</v>
      </c>
      <c r="B114" t="s">
        <v>870</v>
      </c>
      <c r="C114" t="s">
        <v>181</v>
      </c>
      <c r="D114" t="s">
        <v>182</v>
      </c>
      <c r="E114" t="s">
        <v>183</v>
      </c>
      <c r="F114" t="s">
        <v>184</v>
      </c>
      <c r="G114" s="56" t="s">
        <v>185</v>
      </c>
      <c r="H114" t="s">
        <v>185</v>
      </c>
      <c r="I114" t="s">
        <v>185</v>
      </c>
      <c r="J114" t="s">
        <v>185</v>
      </c>
      <c r="K114" t="s">
        <v>185</v>
      </c>
      <c r="L114" t="s">
        <v>185</v>
      </c>
      <c r="M114" t="s">
        <v>185</v>
      </c>
      <c r="N114" t="s">
        <v>871</v>
      </c>
      <c r="O114">
        <v>554642</v>
      </c>
      <c r="P114" t="s">
        <v>847</v>
      </c>
      <c r="Q114" t="s">
        <v>872</v>
      </c>
      <c r="R114" t="s">
        <v>873</v>
      </c>
      <c r="S114">
        <v>420354622741</v>
      </c>
      <c r="T114" t="s">
        <v>874</v>
      </c>
      <c r="U114" t="s">
        <v>875</v>
      </c>
      <c r="V114" t="s">
        <v>100</v>
      </c>
      <c r="W114" t="s">
        <v>97</v>
      </c>
      <c r="X114">
        <f>+VLOOKUP(O114,[1]DATA!$B$37:$AW$170,48,0)</f>
        <v>13921</v>
      </c>
    </row>
    <row r="115" spans="1:24" hidden="1">
      <c r="A115">
        <v>70997578</v>
      </c>
      <c r="B115" t="s">
        <v>876</v>
      </c>
      <c r="C115" t="s">
        <v>181</v>
      </c>
      <c r="D115" t="s">
        <v>182</v>
      </c>
      <c r="E115" t="s">
        <v>183</v>
      </c>
      <c r="F115" t="s">
        <v>184</v>
      </c>
      <c r="G115" s="56" t="s">
        <v>185</v>
      </c>
      <c r="H115" t="s">
        <v>185</v>
      </c>
      <c r="I115" t="s">
        <v>185</v>
      </c>
      <c r="J115" t="s">
        <v>185</v>
      </c>
      <c r="K115" t="s">
        <v>185</v>
      </c>
      <c r="L115" t="s">
        <v>185</v>
      </c>
      <c r="M115" t="s">
        <v>185</v>
      </c>
      <c r="N115" t="s">
        <v>877</v>
      </c>
      <c r="O115">
        <v>554642</v>
      </c>
      <c r="P115" t="s">
        <v>847</v>
      </c>
      <c r="Q115" t="s">
        <v>878</v>
      </c>
      <c r="R115" t="s">
        <v>879</v>
      </c>
      <c r="S115">
        <v>420354622050</v>
      </c>
      <c r="T115" t="s">
        <v>880</v>
      </c>
      <c r="U115" t="s">
        <v>881</v>
      </c>
      <c r="V115" t="s">
        <v>100</v>
      </c>
      <c r="W115" t="s">
        <v>97</v>
      </c>
      <c r="X115">
        <f>+VLOOKUP(O115,[1]DATA!$B$37:$AW$170,48,0)</f>
        <v>13921</v>
      </c>
    </row>
    <row r="116" spans="1:24" hidden="1">
      <c r="A116">
        <v>70997560</v>
      </c>
      <c r="B116" t="s">
        <v>882</v>
      </c>
      <c r="C116" t="s">
        <v>181</v>
      </c>
      <c r="D116" t="s">
        <v>182</v>
      </c>
      <c r="E116" t="s">
        <v>183</v>
      </c>
      <c r="F116" t="s">
        <v>184</v>
      </c>
      <c r="G116" s="56" t="s">
        <v>185</v>
      </c>
      <c r="H116" t="s">
        <v>185</v>
      </c>
      <c r="I116" t="s">
        <v>185</v>
      </c>
      <c r="J116" t="s">
        <v>185</v>
      </c>
      <c r="K116" t="s">
        <v>185</v>
      </c>
      <c r="L116" t="s">
        <v>185</v>
      </c>
      <c r="M116" t="s">
        <v>185</v>
      </c>
      <c r="N116" t="s">
        <v>883</v>
      </c>
      <c r="O116">
        <v>554642</v>
      </c>
      <c r="P116" t="s">
        <v>847</v>
      </c>
      <c r="Q116" t="s">
        <v>884</v>
      </c>
      <c r="R116" t="s">
        <v>885</v>
      </c>
      <c r="S116">
        <v>420354622692</v>
      </c>
      <c r="T116" t="s">
        <v>886</v>
      </c>
      <c r="U116" t="s">
        <v>887</v>
      </c>
      <c r="V116" t="s">
        <v>100</v>
      </c>
      <c r="W116" t="s">
        <v>97</v>
      </c>
      <c r="X116">
        <f>+VLOOKUP(O116,[1]DATA!$B$37:$AW$170,48,0)</f>
        <v>13921</v>
      </c>
    </row>
    <row r="117" spans="1:24">
      <c r="A117">
        <v>70997543</v>
      </c>
      <c r="B117" t="s">
        <v>888</v>
      </c>
      <c r="C117" t="s">
        <v>181</v>
      </c>
      <c r="D117" t="s">
        <v>182</v>
      </c>
      <c r="E117" t="s">
        <v>183</v>
      </c>
      <c r="F117" t="s">
        <v>185</v>
      </c>
      <c r="G117" s="55" t="s">
        <v>184</v>
      </c>
      <c r="H117" t="s">
        <v>185</v>
      </c>
      <c r="I117" t="s">
        <v>185</v>
      </c>
      <c r="J117" t="s">
        <v>185</v>
      </c>
      <c r="K117" t="s">
        <v>185</v>
      </c>
      <c r="L117" t="s">
        <v>185</v>
      </c>
      <c r="M117" t="s">
        <v>185</v>
      </c>
      <c r="N117" t="s">
        <v>889</v>
      </c>
      <c r="O117">
        <v>554642</v>
      </c>
      <c r="P117" t="s">
        <v>847</v>
      </c>
      <c r="Q117" t="s">
        <v>890</v>
      </c>
      <c r="R117" t="s">
        <v>891</v>
      </c>
      <c r="S117">
        <v>420354624654</v>
      </c>
      <c r="T117" t="s">
        <v>892</v>
      </c>
      <c r="U117" t="s">
        <v>893</v>
      </c>
      <c r="V117" t="s">
        <v>100</v>
      </c>
      <c r="W117" t="s">
        <v>97</v>
      </c>
      <c r="X117">
        <f>+VLOOKUP(O117,[1]DATA!$B$37:$AW$170,48,0)</f>
        <v>13921</v>
      </c>
    </row>
    <row r="118" spans="1:24" hidden="1">
      <c r="A118">
        <v>69979430</v>
      </c>
      <c r="B118" t="s">
        <v>894</v>
      </c>
      <c r="C118" t="s">
        <v>181</v>
      </c>
      <c r="D118" t="s">
        <v>182</v>
      </c>
      <c r="E118" t="s">
        <v>183</v>
      </c>
      <c r="F118" t="s">
        <v>185</v>
      </c>
      <c r="G118" s="56" t="s">
        <v>185</v>
      </c>
      <c r="H118" t="s">
        <v>185</v>
      </c>
      <c r="I118" t="s">
        <v>185</v>
      </c>
      <c r="J118" t="s">
        <v>185</v>
      </c>
      <c r="K118" t="s">
        <v>185</v>
      </c>
      <c r="L118" t="s">
        <v>184</v>
      </c>
      <c r="M118" t="s">
        <v>185</v>
      </c>
      <c r="N118" t="s">
        <v>895</v>
      </c>
      <c r="O118">
        <v>554642</v>
      </c>
      <c r="P118" t="s">
        <v>847</v>
      </c>
      <c r="Q118" t="s">
        <v>896</v>
      </c>
      <c r="R118" t="s">
        <v>897</v>
      </c>
      <c r="S118">
        <v>420732145753</v>
      </c>
      <c r="T118" t="s">
        <v>898</v>
      </c>
      <c r="U118" t="s">
        <v>899</v>
      </c>
      <c r="V118" t="s">
        <v>100</v>
      </c>
      <c r="W118" t="s">
        <v>97</v>
      </c>
      <c r="X118">
        <f>+VLOOKUP(O118,[1]DATA!$B$37:$AW$170,48,0)</f>
        <v>13921</v>
      </c>
    </row>
    <row r="119" spans="1:24" hidden="1">
      <c r="A119">
        <v>70997586</v>
      </c>
      <c r="B119" t="s">
        <v>900</v>
      </c>
      <c r="C119" t="s">
        <v>181</v>
      </c>
      <c r="D119" t="s">
        <v>182</v>
      </c>
      <c r="E119" t="s">
        <v>183</v>
      </c>
      <c r="F119" t="s">
        <v>184</v>
      </c>
      <c r="G119" s="56" t="s">
        <v>185</v>
      </c>
      <c r="H119" t="s">
        <v>185</v>
      </c>
      <c r="I119" t="s">
        <v>185</v>
      </c>
      <c r="J119" t="s">
        <v>185</v>
      </c>
      <c r="K119" t="s">
        <v>185</v>
      </c>
      <c r="L119" t="s">
        <v>185</v>
      </c>
      <c r="M119" t="s">
        <v>185</v>
      </c>
      <c r="N119" t="s">
        <v>901</v>
      </c>
      <c r="O119">
        <v>554642</v>
      </c>
      <c r="P119" t="s">
        <v>847</v>
      </c>
      <c r="Q119" t="s">
        <v>902</v>
      </c>
      <c r="R119" t="s">
        <v>903</v>
      </c>
      <c r="S119">
        <v>420354623993</v>
      </c>
      <c r="T119" t="s">
        <v>904</v>
      </c>
      <c r="U119" t="s">
        <v>905</v>
      </c>
      <c r="V119" t="s">
        <v>100</v>
      </c>
      <c r="W119" t="s">
        <v>97</v>
      </c>
      <c r="X119">
        <f>+VLOOKUP(O119,[1]DATA!$B$37:$AW$170,48,0)</f>
        <v>13921</v>
      </c>
    </row>
    <row r="120" spans="1:24">
      <c r="A120">
        <v>60610557</v>
      </c>
      <c r="B120" t="s">
        <v>906</v>
      </c>
      <c r="C120" t="s">
        <v>181</v>
      </c>
      <c r="D120" t="s">
        <v>182</v>
      </c>
      <c r="E120" t="s">
        <v>183</v>
      </c>
      <c r="F120" t="s">
        <v>185</v>
      </c>
      <c r="G120" s="55" t="s">
        <v>184</v>
      </c>
      <c r="H120" t="s">
        <v>185</v>
      </c>
      <c r="I120" t="s">
        <v>185</v>
      </c>
      <c r="J120" t="s">
        <v>185</v>
      </c>
      <c r="K120" t="s">
        <v>185</v>
      </c>
      <c r="L120" t="s">
        <v>185</v>
      </c>
      <c r="M120" t="s">
        <v>185</v>
      </c>
      <c r="N120" t="s">
        <v>907</v>
      </c>
      <c r="O120">
        <v>560642</v>
      </c>
      <c r="P120" t="s">
        <v>908</v>
      </c>
      <c r="Q120" t="s">
        <v>909</v>
      </c>
      <c r="R120" t="s">
        <v>910</v>
      </c>
      <c r="S120">
        <v>420352684066</v>
      </c>
      <c r="T120" t="s">
        <v>911</v>
      </c>
      <c r="U120" t="s">
        <v>912</v>
      </c>
      <c r="V120" t="s">
        <v>106</v>
      </c>
      <c r="W120" t="s">
        <v>104</v>
      </c>
      <c r="X120">
        <f>+VLOOKUP(O120,[1]DATA!$B$37:$AW$170,48,0)</f>
        <v>785</v>
      </c>
    </row>
    <row r="121" spans="1:24">
      <c r="A121">
        <v>60610689</v>
      </c>
      <c r="B121" t="s">
        <v>913</v>
      </c>
      <c r="C121" t="s">
        <v>181</v>
      </c>
      <c r="D121" t="s">
        <v>182</v>
      </c>
      <c r="E121" t="s">
        <v>183</v>
      </c>
      <c r="F121" t="s">
        <v>185</v>
      </c>
      <c r="G121" s="55" t="s">
        <v>184</v>
      </c>
      <c r="H121" t="s">
        <v>185</v>
      </c>
      <c r="I121" t="s">
        <v>185</v>
      </c>
      <c r="J121" t="s">
        <v>185</v>
      </c>
      <c r="K121" t="s">
        <v>185</v>
      </c>
      <c r="L121" t="s">
        <v>185</v>
      </c>
      <c r="M121" t="s">
        <v>185</v>
      </c>
      <c r="N121" t="s">
        <v>914</v>
      </c>
      <c r="O121">
        <v>560685</v>
      </c>
      <c r="P121" t="s">
        <v>915</v>
      </c>
      <c r="Q121" t="s">
        <v>916</v>
      </c>
      <c r="R121" t="s">
        <v>917</v>
      </c>
      <c r="S121">
        <v>420352665123</v>
      </c>
      <c r="T121" t="s">
        <v>918</v>
      </c>
      <c r="U121" t="s">
        <v>919</v>
      </c>
      <c r="V121" t="s">
        <v>106</v>
      </c>
      <c r="W121" t="s">
        <v>104</v>
      </c>
      <c r="X121">
        <f>+VLOOKUP(O121,[1]DATA!$B$37:$AW$170,48,0)</f>
        <v>1245</v>
      </c>
    </row>
    <row r="122" spans="1:24" hidden="1">
      <c r="A122">
        <v>60610697</v>
      </c>
      <c r="B122" t="s">
        <v>920</v>
      </c>
      <c r="C122" t="s">
        <v>181</v>
      </c>
      <c r="D122" t="s">
        <v>182</v>
      </c>
      <c r="E122" t="s">
        <v>183</v>
      </c>
      <c r="F122" t="s">
        <v>184</v>
      </c>
      <c r="G122" s="56" t="s">
        <v>185</v>
      </c>
      <c r="H122" t="s">
        <v>185</v>
      </c>
      <c r="I122" t="s">
        <v>185</v>
      </c>
      <c r="J122" t="s">
        <v>185</v>
      </c>
      <c r="K122" t="s">
        <v>185</v>
      </c>
      <c r="L122" t="s">
        <v>185</v>
      </c>
      <c r="M122" t="s">
        <v>185</v>
      </c>
      <c r="N122" t="s">
        <v>921</v>
      </c>
      <c r="O122">
        <v>560685</v>
      </c>
      <c r="P122" t="s">
        <v>915</v>
      </c>
      <c r="Q122" t="s">
        <v>922</v>
      </c>
      <c r="R122" t="s">
        <v>923</v>
      </c>
      <c r="S122">
        <v>420352665900</v>
      </c>
      <c r="T122" t="s">
        <v>924</v>
      </c>
      <c r="U122" t="s">
        <v>925</v>
      </c>
      <c r="V122" t="s">
        <v>106</v>
      </c>
      <c r="W122" t="s">
        <v>104</v>
      </c>
      <c r="X122">
        <f>+VLOOKUP(O122,[1]DATA!$B$37:$AW$170,48,0)</f>
        <v>1245</v>
      </c>
    </row>
    <row r="123" spans="1:24" hidden="1">
      <c r="A123">
        <v>73729019</v>
      </c>
      <c r="B123" t="s">
        <v>926</v>
      </c>
      <c r="C123" t="s">
        <v>181</v>
      </c>
      <c r="D123" t="s">
        <v>182</v>
      </c>
      <c r="E123" t="s">
        <v>183</v>
      </c>
      <c r="F123" t="s">
        <v>184</v>
      </c>
      <c r="G123" s="56" t="s">
        <v>185</v>
      </c>
      <c r="H123" t="s">
        <v>185</v>
      </c>
      <c r="I123" t="s">
        <v>185</v>
      </c>
      <c r="J123" t="s">
        <v>185</v>
      </c>
      <c r="K123" t="s">
        <v>185</v>
      </c>
      <c r="L123" t="s">
        <v>185</v>
      </c>
      <c r="M123" t="s">
        <v>185</v>
      </c>
      <c r="N123" t="s">
        <v>927</v>
      </c>
      <c r="O123">
        <v>555380</v>
      </c>
      <c r="P123" t="s">
        <v>928</v>
      </c>
      <c r="Q123" t="s">
        <v>929</v>
      </c>
      <c r="R123" t="s">
        <v>930</v>
      </c>
      <c r="S123">
        <v>420353925117</v>
      </c>
      <c r="T123" t="s">
        <v>931</v>
      </c>
      <c r="U123" t="s">
        <v>932</v>
      </c>
      <c r="V123" t="s">
        <v>102</v>
      </c>
      <c r="W123" t="s">
        <v>101</v>
      </c>
      <c r="X123">
        <f>+VLOOKUP(O123,[1]DATA!$B$37:$AW$170,48,0)</f>
        <v>7647</v>
      </c>
    </row>
    <row r="124" spans="1:24" hidden="1">
      <c r="A124">
        <v>73728977</v>
      </c>
      <c r="B124" t="s">
        <v>933</v>
      </c>
      <c r="C124" t="s">
        <v>181</v>
      </c>
      <c r="D124" t="s">
        <v>182</v>
      </c>
      <c r="E124" t="s">
        <v>183</v>
      </c>
      <c r="F124" t="s">
        <v>184</v>
      </c>
      <c r="G124" s="56" t="s">
        <v>185</v>
      </c>
      <c r="H124" t="s">
        <v>185</v>
      </c>
      <c r="I124" t="s">
        <v>185</v>
      </c>
      <c r="J124" t="s">
        <v>185</v>
      </c>
      <c r="K124" t="s">
        <v>185</v>
      </c>
      <c r="L124" t="s">
        <v>185</v>
      </c>
      <c r="M124" t="s">
        <v>185</v>
      </c>
      <c r="N124" t="s">
        <v>934</v>
      </c>
      <c r="O124">
        <v>555380</v>
      </c>
      <c r="P124" t="s">
        <v>928</v>
      </c>
      <c r="Q124" t="s">
        <v>935</v>
      </c>
      <c r="R124" t="s">
        <v>936</v>
      </c>
      <c r="S124">
        <v>420353034250</v>
      </c>
      <c r="T124" t="s">
        <v>937</v>
      </c>
      <c r="U124" t="s">
        <v>938</v>
      </c>
      <c r="V124" t="s">
        <v>102</v>
      </c>
      <c r="W124" t="s">
        <v>101</v>
      </c>
      <c r="X124">
        <f>+VLOOKUP(O124,[1]DATA!$B$37:$AW$170,48,0)</f>
        <v>7647</v>
      </c>
    </row>
    <row r="125" spans="1:24">
      <c r="A125">
        <v>60611049</v>
      </c>
      <c r="B125" t="s">
        <v>939</v>
      </c>
      <c r="C125" t="s">
        <v>181</v>
      </c>
      <c r="D125" t="s">
        <v>182</v>
      </c>
      <c r="E125" t="s">
        <v>183</v>
      </c>
      <c r="F125" t="s">
        <v>185</v>
      </c>
      <c r="G125" s="55" t="s">
        <v>184</v>
      </c>
      <c r="H125" t="s">
        <v>185</v>
      </c>
      <c r="I125" t="s">
        <v>185</v>
      </c>
      <c r="J125" t="s">
        <v>185</v>
      </c>
      <c r="K125" t="s">
        <v>185</v>
      </c>
      <c r="L125" t="s">
        <v>185</v>
      </c>
      <c r="M125" t="s">
        <v>185</v>
      </c>
      <c r="N125" t="s">
        <v>940</v>
      </c>
      <c r="O125">
        <v>555380</v>
      </c>
      <c r="P125" t="s">
        <v>928</v>
      </c>
      <c r="Q125" t="s">
        <v>941</v>
      </c>
      <c r="R125" t="s">
        <v>942</v>
      </c>
      <c r="S125">
        <v>420353825581</v>
      </c>
      <c r="T125" t="s">
        <v>943</v>
      </c>
      <c r="U125" t="s">
        <v>944</v>
      </c>
      <c r="V125" t="s">
        <v>102</v>
      </c>
      <c r="W125" t="s">
        <v>101</v>
      </c>
      <c r="X125">
        <f>+VLOOKUP(O125,[1]DATA!$B$37:$AW$170,48,0)</f>
        <v>7647</v>
      </c>
    </row>
    <row r="126" spans="1:24" hidden="1">
      <c r="A126">
        <v>63555557</v>
      </c>
      <c r="B126" t="s">
        <v>945</v>
      </c>
      <c r="C126" t="s">
        <v>181</v>
      </c>
      <c r="D126" t="s">
        <v>182</v>
      </c>
      <c r="E126" t="s">
        <v>183</v>
      </c>
      <c r="F126" t="s">
        <v>185</v>
      </c>
      <c r="G126" s="56" t="s">
        <v>185</v>
      </c>
      <c r="H126" t="s">
        <v>185</v>
      </c>
      <c r="I126" t="s">
        <v>185</v>
      </c>
      <c r="J126" t="s">
        <v>185</v>
      </c>
      <c r="K126" t="s">
        <v>184</v>
      </c>
      <c r="L126" t="s">
        <v>185</v>
      </c>
      <c r="M126" t="s">
        <v>185</v>
      </c>
      <c r="N126" t="s">
        <v>946</v>
      </c>
      <c r="O126">
        <v>555380</v>
      </c>
      <c r="P126" t="s">
        <v>928</v>
      </c>
      <c r="Q126" t="s">
        <v>947</v>
      </c>
      <c r="R126" t="s">
        <v>948</v>
      </c>
      <c r="S126">
        <v>420353925125</v>
      </c>
      <c r="T126" t="s">
        <v>949</v>
      </c>
      <c r="U126" t="s">
        <v>950</v>
      </c>
      <c r="V126" t="s">
        <v>102</v>
      </c>
      <c r="W126" t="s">
        <v>101</v>
      </c>
      <c r="X126">
        <f>+VLOOKUP(O126,[1]DATA!$B$37:$AW$170,48,0)</f>
        <v>7647</v>
      </c>
    </row>
    <row r="127" spans="1:24" hidden="1">
      <c r="A127">
        <v>73728969</v>
      </c>
      <c r="B127" t="s">
        <v>951</v>
      </c>
      <c r="C127" t="s">
        <v>181</v>
      </c>
      <c r="D127" t="s">
        <v>182</v>
      </c>
      <c r="E127" t="s">
        <v>183</v>
      </c>
      <c r="F127" t="s">
        <v>184</v>
      </c>
      <c r="G127" s="56" t="s">
        <v>185</v>
      </c>
      <c r="H127" t="s">
        <v>185</v>
      </c>
      <c r="I127" t="s">
        <v>185</v>
      </c>
      <c r="J127" t="s">
        <v>185</v>
      </c>
      <c r="K127" t="s">
        <v>185</v>
      </c>
      <c r="L127" t="s">
        <v>185</v>
      </c>
      <c r="M127" t="s">
        <v>185</v>
      </c>
      <c r="N127" t="s">
        <v>952</v>
      </c>
      <c r="O127">
        <v>555380</v>
      </c>
      <c r="P127" t="s">
        <v>928</v>
      </c>
      <c r="Q127" t="s">
        <v>953</v>
      </c>
      <c r="R127" t="s">
        <v>954</v>
      </c>
      <c r="S127">
        <v>420353925081</v>
      </c>
      <c r="T127" t="s">
        <v>955</v>
      </c>
      <c r="U127" t="s">
        <v>956</v>
      </c>
      <c r="V127" t="s">
        <v>102</v>
      </c>
      <c r="W127" t="s">
        <v>101</v>
      </c>
      <c r="X127">
        <f>+VLOOKUP(O127,[1]DATA!$B$37:$AW$170,48,0)</f>
        <v>7647</v>
      </c>
    </row>
    <row r="128" spans="1:24">
      <c r="A128">
        <v>60610565</v>
      </c>
      <c r="B128" t="s">
        <v>957</v>
      </c>
      <c r="C128" t="s">
        <v>181</v>
      </c>
      <c r="D128" t="s">
        <v>182</v>
      </c>
      <c r="E128" t="s">
        <v>183</v>
      </c>
      <c r="F128" t="s">
        <v>184</v>
      </c>
      <c r="G128" s="55" t="s">
        <v>184</v>
      </c>
      <c r="H128" t="s">
        <v>185</v>
      </c>
      <c r="I128" t="s">
        <v>185</v>
      </c>
      <c r="J128" t="s">
        <v>185</v>
      </c>
      <c r="K128" t="s">
        <v>185</v>
      </c>
      <c r="L128" t="s">
        <v>185</v>
      </c>
      <c r="M128" t="s">
        <v>185</v>
      </c>
      <c r="N128" t="s">
        <v>958</v>
      </c>
      <c r="O128">
        <v>555479</v>
      </c>
      <c r="P128" t="s">
        <v>959</v>
      </c>
      <c r="Q128" t="s">
        <v>960</v>
      </c>
      <c r="R128" t="s">
        <v>961</v>
      </c>
      <c r="S128">
        <v>420776249813</v>
      </c>
      <c r="T128" t="s">
        <v>962</v>
      </c>
      <c r="U128" t="s">
        <v>963</v>
      </c>
      <c r="V128" t="s">
        <v>103</v>
      </c>
      <c r="W128" t="s">
        <v>101</v>
      </c>
      <c r="X128">
        <f>+VLOOKUP(O128,[1]DATA!$B$37:$AW$170,48,0)</f>
        <v>405</v>
      </c>
    </row>
    <row r="129" spans="1:24">
      <c r="A129">
        <v>70980896</v>
      </c>
      <c r="B129" t="s">
        <v>964</v>
      </c>
      <c r="C129" t="s">
        <v>181</v>
      </c>
      <c r="D129" t="s">
        <v>182</v>
      </c>
      <c r="E129" t="s">
        <v>183</v>
      </c>
      <c r="F129" t="s">
        <v>185</v>
      </c>
      <c r="G129" s="55" t="s">
        <v>184</v>
      </c>
      <c r="H129" t="s">
        <v>185</v>
      </c>
      <c r="I129" t="s">
        <v>185</v>
      </c>
      <c r="J129" t="s">
        <v>185</v>
      </c>
      <c r="K129" t="s">
        <v>185</v>
      </c>
      <c r="L129" t="s">
        <v>185</v>
      </c>
      <c r="M129" t="s">
        <v>185</v>
      </c>
      <c r="N129" t="s">
        <v>965</v>
      </c>
      <c r="O129">
        <v>560570</v>
      </c>
      <c r="P129" t="s">
        <v>966</v>
      </c>
      <c r="Q129" t="s">
        <v>967</v>
      </c>
      <c r="R129" t="s">
        <v>968</v>
      </c>
      <c r="S129">
        <v>420352669339</v>
      </c>
      <c r="T129" t="s">
        <v>969</v>
      </c>
      <c r="U129" t="s">
        <v>970</v>
      </c>
      <c r="V129" t="s">
        <v>106</v>
      </c>
      <c r="W129" t="s">
        <v>104</v>
      </c>
      <c r="X129">
        <f>+VLOOKUP(O129,[1]DATA!$B$37:$AW$170,48,0)</f>
        <v>2527</v>
      </c>
    </row>
    <row r="130" spans="1:24" hidden="1">
      <c r="A130">
        <v>70984239</v>
      </c>
      <c r="B130" t="s">
        <v>971</v>
      </c>
      <c r="C130" t="s">
        <v>181</v>
      </c>
      <c r="D130" t="s">
        <v>182</v>
      </c>
      <c r="E130" t="s">
        <v>183</v>
      </c>
      <c r="F130" t="s">
        <v>184</v>
      </c>
      <c r="G130" s="56" t="s">
        <v>185</v>
      </c>
      <c r="H130" t="s">
        <v>185</v>
      </c>
      <c r="I130" t="s">
        <v>185</v>
      </c>
      <c r="J130" t="s">
        <v>185</v>
      </c>
      <c r="K130" t="s">
        <v>185</v>
      </c>
      <c r="L130" t="s">
        <v>185</v>
      </c>
      <c r="M130" t="s">
        <v>185</v>
      </c>
      <c r="N130" t="s">
        <v>972</v>
      </c>
      <c r="O130">
        <v>560537</v>
      </c>
      <c r="P130" t="s">
        <v>973</v>
      </c>
      <c r="Q130" t="s">
        <v>974</v>
      </c>
      <c r="R130" t="s">
        <v>975</v>
      </c>
      <c r="S130">
        <v>420352684022</v>
      </c>
      <c r="T130" t="s">
        <v>976</v>
      </c>
      <c r="U130" t="s">
        <v>977</v>
      </c>
      <c r="V130" t="s">
        <v>106</v>
      </c>
      <c r="W130" t="s">
        <v>104</v>
      </c>
      <c r="X130">
        <f>+VLOOKUP(O130,[1]DATA!$B$37:$AW$170,48,0)</f>
        <v>2990</v>
      </c>
    </row>
    <row r="131" spans="1:24" hidden="1">
      <c r="A131">
        <v>70980918</v>
      </c>
      <c r="B131" t="s">
        <v>978</v>
      </c>
      <c r="C131" t="s">
        <v>181</v>
      </c>
      <c r="D131" t="s">
        <v>182</v>
      </c>
      <c r="E131" t="s">
        <v>183</v>
      </c>
      <c r="F131" t="s">
        <v>184</v>
      </c>
      <c r="G131" s="56" t="s">
        <v>185</v>
      </c>
      <c r="H131" t="s">
        <v>185</v>
      </c>
      <c r="I131" t="s">
        <v>185</v>
      </c>
      <c r="J131" t="s">
        <v>185</v>
      </c>
      <c r="K131" t="s">
        <v>185</v>
      </c>
      <c r="L131" t="s">
        <v>185</v>
      </c>
      <c r="M131" t="s">
        <v>185</v>
      </c>
      <c r="N131" t="s">
        <v>979</v>
      </c>
      <c r="O131">
        <v>560570</v>
      </c>
      <c r="P131" t="s">
        <v>966</v>
      </c>
      <c r="Q131" t="s">
        <v>980</v>
      </c>
      <c r="R131" t="s">
        <v>981</v>
      </c>
      <c r="S131">
        <v>420352669338</v>
      </c>
      <c r="T131" t="s">
        <v>982</v>
      </c>
      <c r="U131" t="s">
        <v>983</v>
      </c>
      <c r="V131" t="s">
        <v>106</v>
      </c>
      <c r="W131" t="s">
        <v>104</v>
      </c>
      <c r="X131">
        <f>+VLOOKUP(O131,[1]DATA!$B$37:$AW$170,48,0)</f>
        <v>2527</v>
      </c>
    </row>
    <row r="132" spans="1:24">
      <c r="A132">
        <v>60610239</v>
      </c>
      <c r="B132" t="s">
        <v>984</v>
      </c>
      <c r="C132" t="s">
        <v>181</v>
      </c>
      <c r="D132" t="s">
        <v>182</v>
      </c>
      <c r="E132" t="s">
        <v>183</v>
      </c>
      <c r="F132" t="s">
        <v>185</v>
      </c>
      <c r="G132" s="55" t="s">
        <v>184</v>
      </c>
      <c r="H132" t="s">
        <v>185</v>
      </c>
      <c r="I132" t="s">
        <v>185</v>
      </c>
      <c r="J132" t="s">
        <v>185</v>
      </c>
      <c r="K132" t="s">
        <v>185</v>
      </c>
      <c r="L132" t="s">
        <v>185</v>
      </c>
      <c r="M132" t="s">
        <v>185</v>
      </c>
      <c r="N132" t="s">
        <v>985</v>
      </c>
      <c r="O132">
        <v>560383</v>
      </c>
      <c r="P132" t="s">
        <v>986</v>
      </c>
      <c r="Q132" t="s">
        <v>987</v>
      </c>
      <c r="R132" t="s">
        <v>988</v>
      </c>
      <c r="S132">
        <v>420352352292</v>
      </c>
      <c r="T132" t="s">
        <v>989</v>
      </c>
      <c r="U132" t="s">
        <v>990</v>
      </c>
      <c r="V132" t="s">
        <v>106</v>
      </c>
      <c r="W132" t="s">
        <v>104</v>
      </c>
      <c r="X132">
        <f>+VLOOKUP(O132,[1]DATA!$B$37:$AW$170,48,0)</f>
        <v>12451</v>
      </c>
    </row>
    <row r="133" spans="1:24">
      <c r="A133">
        <v>70976368</v>
      </c>
      <c r="B133" t="s">
        <v>991</v>
      </c>
      <c r="C133" t="s">
        <v>181</v>
      </c>
      <c r="D133" t="s">
        <v>182</v>
      </c>
      <c r="E133" t="s">
        <v>183</v>
      </c>
      <c r="F133" t="s">
        <v>185</v>
      </c>
      <c r="G133" s="55" t="s">
        <v>184</v>
      </c>
      <c r="H133" t="s">
        <v>185</v>
      </c>
      <c r="I133" t="s">
        <v>185</v>
      </c>
      <c r="J133" t="s">
        <v>185</v>
      </c>
      <c r="K133" t="s">
        <v>185</v>
      </c>
      <c r="L133" t="s">
        <v>185</v>
      </c>
      <c r="M133" t="s">
        <v>185</v>
      </c>
      <c r="N133" t="s">
        <v>992</v>
      </c>
      <c r="O133">
        <v>560383</v>
      </c>
      <c r="P133" t="s">
        <v>986</v>
      </c>
      <c r="Q133" t="s">
        <v>993</v>
      </c>
      <c r="R133" t="s">
        <v>994</v>
      </c>
      <c r="S133">
        <v>420352352490</v>
      </c>
      <c r="T133" t="s">
        <v>995</v>
      </c>
      <c r="U133" t="s">
        <v>996</v>
      </c>
      <c r="V133" t="s">
        <v>106</v>
      </c>
      <c r="W133" t="s">
        <v>104</v>
      </c>
      <c r="X133">
        <f>+VLOOKUP(O133,[1]DATA!$B$37:$AW$170,48,0)</f>
        <v>12451</v>
      </c>
    </row>
    <row r="134" spans="1:24" hidden="1">
      <c r="A134">
        <v>73728985</v>
      </c>
      <c r="B134" t="s">
        <v>997</v>
      </c>
      <c r="C134" t="s">
        <v>181</v>
      </c>
      <c r="D134" t="s">
        <v>182</v>
      </c>
      <c r="E134" t="s">
        <v>183</v>
      </c>
      <c r="F134" t="s">
        <v>184</v>
      </c>
      <c r="G134" s="56" t="s">
        <v>185</v>
      </c>
      <c r="H134" t="s">
        <v>185</v>
      </c>
      <c r="I134" t="s">
        <v>185</v>
      </c>
      <c r="J134" t="s">
        <v>185</v>
      </c>
      <c r="K134" t="s">
        <v>185</v>
      </c>
      <c r="L134" t="s">
        <v>185</v>
      </c>
      <c r="M134" t="s">
        <v>185</v>
      </c>
      <c r="N134" t="s">
        <v>998</v>
      </c>
      <c r="O134">
        <v>555380</v>
      </c>
      <c r="P134" t="s">
        <v>928</v>
      </c>
      <c r="Q134" t="s">
        <v>999</v>
      </c>
      <c r="R134" t="s">
        <v>1000</v>
      </c>
      <c r="S134">
        <v>420353825274</v>
      </c>
      <c r="T134" t="s">
        <v>1001</v>
      </c>
      <c r="U134" t="s">
        <v>1002</v>
      </c>
      <c r="V134" t="s">
        <v>102</v>
      </c>
      <c r="W134" t="s">
        <v>101</v>
      </c>
      <c r="X134">
        <f>+VLOOKUP(O134,[1]DATA!$B$37:$AW$170,48,0)</f>
        <v>7647</v>
      </c>
    </row>
    <row r="135" spans="1:24" hidden="1">
      <c r="A135">
        <v>60610204</v>
      </c>
      <c r="B135" t="s">
        <v>1003</v>
      </c>
      <c r="C135" t="s">
        <v>181</v>
      </c>
      <c r="D135" t="s">
        <v>182</v>
      </c>
      <c r="E135" t="s">
        <v>183</v>
      </c>
      <c r="F135" t="s">
        <v>184</v>
      </c>
      <c r="G135" s="56" t="s">
        <v>185</v>
      </c>
      <c r="H135" t="s">
        <v>185</v>
      </c>
      <c r="I135" t="s">
        <v>185</v>
      </c>
      <c r="J135" t="s">
        <v>185</v>
      </c>
      <c r="K135" t="s">
        <v>185</v>
      </c>
      <c r="L135" t="s">
        <v>185</v>
      </c>
      <c r="M135" t="s">
        <v>185</v>
      </c>
      <c r="N135" t="s">
        <v>1004</v>
      </c>
      <c r="O135">
        <v>560383</v>
      </c>
      <c r="P135" t="s">
        <v>986</v>
      </c>
      <c r="Q135" t="s">
        <v>1005</v>
      </c>
      <c r="R135" t="s">
        <v>1006</v>
      </c>
      <c r="S135">
        <v>420352352480</v>
      </c>
      <c r="T135" t="s">
        <v>1007</v>
      </c>
      <c r="U135" t="s">
        <v>1008</v>
      </c>
      <c r="V135" t="s">
        <v>106</v>
      </c>
      <c r="W135" t="s">
        <v>104</v>
      </c>
      <c r="X135">
        <f>+VLOOKUP(O135,[1]DATA!$B$37:$AW$170,48,0)</f>
        <v>12451</v>
      </c>
    </row>
    <row r="136" spans="1:24" hidden="1">
      <c r="A136">
        <v>70976350</v>
      </c>
      <c r="B136" t="s">
        <v>1009</v>
      </c>
      <c r="C136" t="s">
        <v>181</v>
      </c>
      <c r="D136" t="s">
        <v>182</v>
      </c>
      <c r="E136" t="s">
        <v>183</v>
      </c>
      <c r="F136" t="s">
        <v>185</v>
      </c>
      <c r="G136" s="56" t="s">
        <v>185</v>
      </c>
      <c r="H136" t="s">
        <v>185</v>
      </c>
      <c r="I136" t="s">
        <v>185</v>
      </c>
      <c r="J136" t="s">
        <v>185</v>
      </c>
      <c r="K136" t="s">
        <v>185</v>
      </c>
      <c r="L136" t="s">
        <v>184</v>
      </c>
      <c r="M136" t="s">
        <v>185</v>
      </c>
      <c r="N136" t="s">
        <v>1010</v>
      </c>
      <c r="O136">
        <v>560383</v>
      </c>
      <c r="P136" t="s">
        <v>986</v>
      </c>
      <c r="Q136" t="s">
        <v>1011</v>
      </c>
      <c r="R136" t="s">
        <v>1012</v>
      </c>
      <c r="S136">
        <v>420352352280</v>
      </c>
      <c r="T136" t="s">
        <v>1013</v>
      </c>
      <c r="U136" t="s">
        <v>1014</v>
      </c>
      <c r="V136" t="s">
        <v>106</v>
      </c>
      <c r="W136" t="s">
        <v>104</v>
      </c>
      <c r="X136">
        <f>+VLOOKUP(O136,[1]DATA!$B$37:$AW$170,48,0)</f>
        <v>12451</v>
      </c>
    </row>
    <row r="137" spans="1:24">
      <c r="A137">
        <v>60611057</v>
      </c>
      <c r="B137" t="s">
        <v>1015</v>
      </c>
      <c r="C137" t="s">
        <v>181</v>
      </c>
      <c r="D137" t="s">
        <v>182</v>
      </c>
      <c r="E137" t="s">
        <v>183</v>
      </c>
      <c r="F137" t="s">
        <v>185</v>
      </c>
      <c r="G137" s="55" t="s">
        <v>184</v>
      </c>
      <c r="H137" t="s">
        <v>185</v>
      </c>
      <c r="I137" t="s">
        <v>185</v>
      </c>
      <c r="J137" t="s">
        <v>185</v>
      </c>
      <c r="K137" t="s">
        <v>185</v>
      </c>
      <c r="L137" t="s">
        <v>185</v>
      </c>
      <c r="M137" t="s">
        <v>185</v>
      </c>
      <c r="N137" t="s">
        <v>1016</v>
      </c>
      <c r="O137">
        <v>555380</v>
      </c>
      <c r="P137" t="s">
        <v>928</v>
      </c>
      <c r="Q137" t="s">
        <v>1017</v>
      </c>
      <c r="R137" t="s">
        <v>1018</v>
      </c>
      <c r="S137">
        <v>420353825039</v>
      </c>
      <c r="T137" t="s">
        <v>1019</v>
      </c>
      <c r="U137" t="s">
        <v>1020</v>
      </c>
      <c r="V137" t="s">
        <v>102</v>
      </c>
      <c r="W137" t="s">
        <v>101</v>
      </c>
      <c r="X137">
        <f>+VLOOKUP(O137,[1]DATA!$B$37:$AW$170,48,0)</f>
        <v>7647</v>
      </c>
    </row>
    <row r="138" spans="1:24">
      <c r="A138">
        <v>60610247</v>
      </c>
      <c r="B138" t="s">
        <v>1021</v>
      </c>
      <c r="C138" t="s">
        <v>181</v>
      </c>
      <c r="D138" t="s">
        <v>182</v>
      </c>
      <c r="E138" t="s">
        <v>183</v>
      </c>
      <c r="F138" t="s">
        <v>185</v>
      </c>
      <c r="G138" s="55" t="s">
        <v>184</v>
      </c>
      <c r="H138" t="s">
        <v>185</v>
      </c>
      <c r="I138" t="s">
        <v>185</v>
      </c>
      <c r="J138" t="s">
        <v>185</v>
      </c>
      <c r="K138" t="s">
        <v>185</v>
      </c>
      <c r="L138" t="s">
        <v>185</v>
      </c>
      <c r="M138" t="s">
        <v>185</v>
      </c>
      <c r="N138" t="s">
        <v>1022</v>
      </c>
      <c r="O138">
        <v>560383</v>
      </c>
      <c r="P138" t="s">
        <v>986</v>
      </c>
      <c r="Q138" t="s">
        <v>1023</v>
      </c>
      <c r="R138" t="s">
        <v>1024</v>
      </c>
      <c r="S138">
        <v>420352352192</v>
      </c>
      <c r="T138" t="s">
        <v>1025</v>
      </c>
      <c r="U138" t="s">
        <v>1026</v>
      </c>
      <c r="V138" t="s">
        <v>106</v>
      </c>
      <c r="W138" t="s">
        <v>104</v>
      </c>
      <c r="X138">
        <f>+VLOOKUP(O138,[1]DATA!$B$37:$AW$170,48,0)</f>
        <v>12451</v>
      </c>
    </row>
    <row r="139" spans="1:24" hidden="1">
      <c r="A139">
        <v>70976341</v>
      </c>
      <c r="B139" t="s">
        <v>1027</v>
      </c>
      <c r="C139" t="s">
        <v>181</v>
      </c>
      <c r="D139" t="s">
        <v>182</v>
      </c>
      <c r="E139" t="s">
        <v>183</v>
      </c>
      <c r="F139" t="s">
        <v>185</v>
      </c>
      <c r="G139" s="56" t="s">
        <v>185</v>
      </c>
      <c r="H139" t="s">
        <v>185</v>
      </c>
      <c r="I139" t="s">
        <v>185</v>
      </c>
      <c r="J139" t="s">
        <v>185</v>
      </c>
      <c r="K139" t="s">
        <v>184</v>
      </c>
      <c r="L139" t="s">
        <v>185</v>
      </c>
      <c r="M139" t="s">
        <v>185</v>
      </c>
      <c r="N139" t="s">
        <v>1028</v>
      </c>
      <c r="O139">
        <v>560383</v>
      </c>
      <c r="P139" t="s">
        <v>986</v>
      </c>
      <c r="Q139" t="s">
        <v>1029</v>
      </c>
      <c r="R139" t="s">
        <v>1030</v>
      </c>
      <c r="S139">
        <v>420352352352</v>
      </c>
      <c r="T139" t="s">
        <v>1031</v>
      </c>
      <c r="U139" t="s">
        <v>1032</v>
      </c>
      <c r="V139" t="s">
        <v>106</v>
      </c>
      <c r="W139" t="s">
        <v>104</v>
      </c>
      <c r="X139">
        <f>+VLOOKUP(O139,[1]DATA!$B$37:$AW$170,48,0)</f>
        <v>12451</v>
      </c>
    </row>
    <row r="140" spans="1:24" hidden="1">
      <c r="A140">
        <v>21696063</v>
      </c>
      <c r="B140" t="s">
        <v>1033</v>
      </c>
      <c r="C140" t="s">
        <v>181</v>
      </c>
      <c r="D140" t="s">
        <v>182</v>
      </c>
      <c r="E140" t="s">
        <v>183</v>
      </c>
      <c r="F140" t="s">
        <v>185</v>
      </c>
      <c r="G140" s="56" t="s">
        <v>185</v>
      </c>
      <c r="H140" t="s">
        <v>184</v>
      </c>
      <c r="I140" t="s">
        <v>185</v>
      </c>
      <c r="J140" t="s">
        <v>185</v>
      </c>
      <c r="K140" t="s">
        <v>185</v>
      </c>
      <c r="L140" t="s">
        <v>185</v>
      </c>
      <c r="M140" t="s">
        <v>185</v>
      </c>
      <c r="N140" t="s">
        <v>1034</v>
      </c>
      <c r="O140">
        <v>560383</v>
      </c>
      <c r="P140" t="s">
        <v>986</v>
      </c>
      <c r="Q140" t="s">
        <v>1035</v>
      </c>
      <c r="R140" t="s">
        <v>1036</v>
      </c>
      <c r="S140">
        <v>420732627045</v>
      </c>
      <c r="T140" t="s">
        <v>1037</v>
      </c>
      <c r="U140" t="s">
        <v>1038</v>
      </c>
      <c r="V140" t="s">
        <v>106</v>
      </c>
      <c r="W140" t="s">
        <v>104</v>
      </c>
      <c r="X140">
        <f>+VLOOKUP(O140,[1]DATA!$B$37:$AW$170,48,0)</f>
        <v>12451</v>
      </c>
    </row>
    <row r="141" spans="1:24">
      <c r="A141">
        <v>70984221</v>
      </c>
      <c r="B141" t="s">
        <v>1039</v>
      </c>
      <c r="C141" t="s">
        <v>181</v>
      </c>
      <c r="D141" t="s">
        <v>182</v>
      </c>
      <c r="E141" t="s">
        <v>183</v>
      </c>
      <c r="F141" t="s">
        <v>185</v>
      </c>
      <c r="G141" s="55" t="s">
        <v>184</v>
      </c>
      <c r="H141" t="s">
        <v>185</v>
      </c>
      <c r="I141" t="s">
        <v>185</v>
      </c>
      <c r="J141" t="s">
        <v>185</v>
      </c>
      <c r="K141" t="s">
        <v>185</v>
      </c>
      <c r="L141" t="s">
        <v>185</v>
      </c>
      <c r="M141" t="s">
        <v>185</v>
      </c>
      <c r="N141" t="s">
        <v>1040</v>
      </c>
      <c r="O141">
        <v>560537</v>
      </c>
      <c r="P141" t="s">
        <v>973</v>
      </c>
      <c r="Q141" t="s">
        <v>1041</v>
      </c>
      <c r="R141" t="s">
        <v>1042</v>
      </c>
      <c r="S141">
        <v>420602259764</v>
      </c>
      <c r="T141" t="s">
        <v>1043</v>
      </c>
      <c r="U141" t="s">
        <v>1044</v>
      </c>
      <c r="V141" t="s">
        <v>106</v>
      </c>
      <c r="W141" t="s">
        <v>104</v>
      </c>
      <c r="X141">
        <f>+VLOOKUP(O141,[1]DATA!$B$37:$AW$170,48,0)</f>
        <v>2990</v>
      </c>
    </row>
    <row r="142" spans="1:24">
      <c r="A142">
        <v>69983160</v>
      </c>
      <c r="B142" t="s">
        <v>1045</v>
      </c>
      <c r="C142" t="s">
        <v>181</v>
      </c>
      <c r="D142" t="s">
        <v>182</v>
      </c>
      <c r="E142" t="s">
        <v>183</v>
      </c>
      <c r="F142" t="s">
        <v>184</v>
      </c>
      <c r="G142" s="55" t="s">
        <v>184</v>
      </c>
      <c r="H142" t="s">
        <v>185</v>
      </c>
      <c r="I142" t="s">
        <v>185</v>
      </c>
      <c r="J142" t="s">
        <v>185</v>
      </c>
      <c r="K142" t="s">
        <v>185</v>
      </c>
      <c r="L142" t="s">
        <v>185</v>
      </c>
      <c r="M142" t="s">
        <v>185</v>
      </c>
      <c r="N142" t="s">
        <v>1046</v>
      </c>
      <c r="O142">
        <v>555045</v>
      </c>
      <c r="P142" t="s">
        <v>1047</v>
      </c>
      <c r="Q142" t="s">
        <v>1048</v>
      </c>
      <c r="R142" t="s">
        <v>1049</v>
      </c>
      <c r="S142">
        <v>420736629544</v>
      </c>
      <c r="T142" t="s">
        <v>1050</v>
      </c>
      <c r="U142" t="s">
        <v>1051</v>
      </c>
      <c r="V142" t="s">
        <v>102</v>
      </c>
      <c r="W142" t="s">
        <v>101</v>
      </c>
      <c r="X142">
        <f>+VLOOKUP(O142,[1]DATA!$B$37:$AW$170,48,0)</f>
        <v>589</v>
      </c>
    </row>
    <row r="143" spans="1:24">
      <c r="A143">
        <v>60610590</v>
      </c>
      <c r="B143" t="s">
        <v>1052</v>
      </c>
      <c r="C143" t="s">
        <v>181</v>
      </c>
      <c r="D143" t="s">
        <v>182</v>
      </c>
      <c r="E143" t="s">
        <v>183</v>
      </c>
      <c r="F143" t="s">
        <v>184</v>
      </c>
      <c r="G143" s="55" t="s">
        <v>184</v>
      </c>
      <c r="H143" t="s">
        <v>185</v>
      </c>
      <c r="I143" t="s">
        <v>185</v>
      </c>
      <c r="J143" t="s">
        <v>185</v>
      </c>
      <c r="K143" t="s">
        <v>185</v>
      </c>
      <c r="L143" t="s">
        <v>185</v>
      </c>
      <c r="M143" t="s">
        <v>185</v>
      </c>
      <c r="N143" t="s">
        <v>1053</v>
      </c>
      <c r="O143">
        <v>555169</v>
      </c>
      <c r="P143" t="s">
        <v>1054</v>
      </c>
      <c r="Q143" t="s">
        <v>1055</v>
      </c>
      <c r="R143" t="s">
        <v>1056</v>
      </c>
      <c r="S143">
        <v>420739572093</v>
      </c>
      <c r="T143" t="s">
        <v>1057</v>
      </c>
      <c r="U143" t="s">
        <v>1058</v>
      </c>
      <c r="V143" t="s">
        <v>103</v>
      </c>
      <c r="W143" t="s">
        <v>101</v>
      </c>
      <c r="X143">
        <f>+VLOOKUP(O143,[1]DATA!$B$37:$AW$170,48,0)</f>
        <v>350</v>
      </c>
    </row>
    <row r="144" spans="1:24">
      <c r="A144">
        <v>70939454</v>
      </c>
      <c r="B144" t="s">
        <v>1059</v>
      </c>
      <c r="C144" t="s">
        <v>181</v>
      </c>
      <c r="D144" t="s">
        <v>182</v>
      </c>
      <c r="E144" t="s">
        <v>183</v>
      </c>
      <c r="F144" t="s">
        <v>185</v>
      </c>
      <c r="G144" s="55" t="s">
        <v>184</v>
      </c>
      <c r="H144" t="s">
        <v>185</v>
      </c>
      <c r="I144" t="s">
        <v>185</v>
      </c>
      <c r="J144" t="s">
        <v>185</v>
      </c>
      <c r="K144" t="s">
        <v>185</v>
      </c>
      <c r="L144" t="s">
        <v>185</v>
      </c>
      <c r="M144" t="s">
        <v>185</v>
      </c>
      <c r="N144" t="s">
        <v>1060</v>
      </c>
      <c r="O144">
        <v>555398</v>
      </c>
      <c r="P144" t="s">
        <v>1061</v>
      </c>
      <c r="Q144" t="s">
        <v>1062</v>
      </c>
      <c r="R144" t="s">
        <v>1063</v>
      </c>
      <c r="S144">
        <v>420774362251</v>
      </c>
      <c r="T144" t="s">
        <v>1064</v>
      </c>
      <c r="U144" t="s">
        <v>1065</v>
      </c>
      <c r="V144" t="s">
        <v>102</v>
      </c>
      <c r="W144" t="s">
        <v>101</v>
      </c>
      <c r="X144">
        <f>+VLOOKUP(O144,[1]DATA!$B$37:$AW$170,48,0)</f>
        <v>4298</v>
      </c>
    </row>
    <row r="145" spans="1:24" hidden="1">
      <c r="A145">
        <v>75042151</v>
      </c>
      <c r="B145" t="s">
        <v>1066</v>
      </c>
      <c r="C145" t="s">
        <v>181</v>
      </c>
      <c r="D145" t="s">
        <v>182</v>
      </c>
      <c r="E145" t="s">
        <v>183</v>
      </c>
      <c r="F145" t="s">
        <v>185</v>
      </c>
      <c r="G145" s="56" t="s">
        <v>185</v>
      </c>
      <c r="H145" t="s">
        <v>185</v>
      </c>
      <c r="I145" t="s">
        <v>185</v>
      </c>
      <c r="J145" t="s">
        <v>185</v>
      </c>
      <c r="K145" t="s">
        <v>185</v>
      </c>
      <c r="L145" t="s">
        <v>184</v>
      </c>
      <c r="M145" t="s">
        <v>185</v>
      </c>
      <c r="N145" t="s">
        <v>1067</v>
      </c>
      <c r="O145">
        <v>555398</v>
      </c>
      <c r="P145" t="s">
        <v>1061</v>
      </c>
      <c r="Q145" t="s">
        <v>1068</v>
      </c>
      <c r="R145" t="s">
        <v>1069</v>
      </c>
      <c r="S145">
        <v>420353851172</v>
      </c>
      <c r="T145" t="s">
        <v>1070</v>
      </c>
      <c r="U145" t="s">
        <v>1071</v>
      </c>
      <c r="V145" t="s">
        <v>102</v>
      </c>
      <c r="W145" t="s">
        <v>101</v>
      </c>
      <c r="X145">
        <f>+VLOOKUP(O145,[1]DATA!$B$37:$AW$170,48,0)</f>
        <v>4298</v>
      </c>
    </row>
    <row r="146" spans="1:24" hidden="1">
      <c r="A146">
        <v>6134238</v>
      </c>
      <c r="B146" t="s">
        <v>1072</v>
      </c>
      <c r="C146" t="s">
        <v>181</v>
      </c>
      <c r="D146" t="s">
        <v>182</v>
      </c>
      <c r="E146" t="s">
        <v>183</v>
      </c>
      <c r="F146" t="s">
        <v>185</v>
      </c>
      <c r="G146" s="56" t="s">
        <v>185</v>
      </c>
      <c r="H146" t="s">
        <v>185</v>
      </c>
      <c r="I146" t="s">
        <v>185</v>
      </c>
      <c r="J146" t="s">
        <v>185</v>
      </c>
      <c r="K146" t="s">
        <v>184</v>
      </c>
      <c r="L146" t="s">
        <v>185</v>
      </c>
      <c r="M146" t="s">
        <v>185</v>
      </c>
      <c r="N146" t="s">
        <v>1067</v>
      </c>
      <c r="O146">
        <v>555398</v>
      </c>
      <c r="P146" t="s">
        <v>1061</v>
      </c>
      <c r="Q146" t="s">
        <v>1068</v>
      </c>
      <c r="R146" t="s">
        <v>1069</v>
      </c>
      <c r="S146">
        <v>420725925089</v>
      </c>
      <c r="T146" t="s">
        <v>1073</v>
      </c>
      <c r="U146" t="s">
        <v>1074</v>
      </c>
      <c r="V146" t="s">
        <v>102</v>
      </c>
      <c r="W146" t="s">
        <v>101</v>
      </c>
      <c r="X146">
        <f>+VLOOKUP(O146,[1]DATA!$B$37:$AW$170,48,0)</f>
        <v>4298</v>
      </c>
    </row>
    <row r="147" spans="1:24">
      <c r="A147">
        <v>47701617</v>
      </c>
      <c r="B147" t="s">
        <v>1075</v>
      </c>
      <c r="C147" t="s">
        <v>181</v>
      </c>
      <c r="D147" t="s">
        <v>182</v>
      </c>
      <c r="E147" t="s">
        <v>183</v>
      </c>
      <c r="F147" t="s">
        <v>184</v>
      </c>
      <c r="G147" s="55" t="s">
        <v>184</v>
      </c>
      <c r="H147" t="s">
        <v>185</v>
      </c>
      <c r="I147" t="s">
        <v>185</v>
      </c>
      <c r="J147" t="s">
        <v>185</v>
      </c>
      <c r="K147" t="s">
        <v>185</v>
      </c>
      <c r="L147" t="s">
        <v>185</v>
      </c>
      <c r="M147" t="s">
        <v>185</v>
      </c>
      <c r="N147" t="s">
        <v>1076</v>
      </c>
      <c r="O147">
        <v>555452</v>
      </c>
      <c r="P147" t="s">
        <v>1077</v>
      </c>
      <c r="Q147" t="s">
        <v>1078</v>
      </c>
      <c r="R147" t="s">
        <v>1079</v>
      </c>
      <c r="S147">
        <v>420353892213</v>
      </c>
      <c r="T147" t="s">
        <v>1080</v>
      </c>
      <c r="U147" t="s">
        <v>1081</v>
      </c>
      <c r="V147" t="s">
        <v>103</v>
      </c>
      <c r="W147" t="s">
        <v>101</v>
      </c>
      <c r="X147">
        <f>+VLOOKUP(O147,[1]DATA!$B$37:$AW$170,48,0)</f>
        <v>581</v>
      </c>
    </row>
    <row r="148" spans="1:24" hidden="1">
      <c r="A148">
        <v>70939837</v>
      </c>
      <c r="B148" t="s">
        <v>1082</v>
      </c>
      <c r="C148" t="s">
        <v>181</v>
      </c>
      <c r="D148" t="s">
        <v>182</v>
      </c>
      <c r="E148" t="s">
        <v>183</v>
      </c>
      <c r="F148" t="s">
        <v>184</v>
      </c>
      <c r="G148" s="56" t="s">
        <v>185</v>
      </c>
      <c r="H148" t="s">
        <v>185</v>
      </c>
      <c r="I148" t="s">
        <v>185</v>
      </c>
      <c r="J148" t="s">
        <v>185</v>
      </c>
      <c r="K148" t="s">
        <v>185</v>
      </c>
      <c r="L148" t="s">
        <v>185</v>
      </c>
      <c r="M148" t="s">
        <v>185</v>
      </c>
      <c r="N148" t="s">
        <v>1083</v>
      </c>
      <c r="O148">
        <v>555398</v>
      </c>
      <c r="P148" t="s">
        <v>1061</v>
      </c>
      <c r="Q148" t="s">
        <v>1084</v>
      </c>
      <c r="R148" t="s">
        <v>1085</v>
      </c>
      <c r="S148">
        <v>420604675381</v>
      </c>
      <c r="T148" t="s">
        <v>1086</v>
      </c>
      <c r="U148" t="s">
        <v>1087</v>
      </c>
      <c r="V148" t="s">
        <v>102</v>
      </c>
      <c r="W148" t="s">
        <v>101</v>
      </c>
      <c r="X148">
        <f>+VLOOKUP(O148,[1]DATA!$B$37:$AW$170,48,0)</f>
        <v>4298</v>
      </c>
    </row>
    <row r="149" spans="1:24" hidden="1">
      <c r="A149">
        <v>71012621</v>
      </c>
      <c r="B149" t="s">
        <v>1088</v>
      </c>
      <c r="C149" t="s">
        <v>181</v>
      </c>
      <c r="D149" t="s">
        <v>182</v>
      </c>
      <c r="E149" t="s">
        <v>183</v>
      </c>
      <c r="F149" t="s">
        <v>184</v>
      </c>
      <c r="G149" s="56" t="s">
        <v>185</v>
      </c>
      <c r="H149" t="s">
        <v>185</v>
      </c>
      <c r="I149" t="s">
        <v>185</v>
      </c>
      <c r="J149" t="s">
        <v>185</v>
      </c>
      <c r="K149" t="s">
        <v>185</v>
      </c>
      <c r="L149" t="s">
        <v>185</v>
      </c>
      <c r="M149" t="s">
        <v>185</v>
      </c>
      <c r="N149" t="s">
        <v>1089</v>
      </c>
      <c r="O149">
        <v>538337</v>
      </c>
      <c r="P149" t="s">
        <v>1090</v>
      </c>
      <c r="Q149" t="s">
        <v>1091</v>
      </c>
      <c r="R149" t="s">
        <v>1092</v>
      </c>
      <c r="S149">
        <v>420739456402</v>
      </c>
      <c r="T149" t="s">
        <v>1093</v>
      </c>
      <c r="U149" t="s">
        <v>1094</v>
      </c>
      <c r="V149" t="s">
        <v>106</v>
      </c>
      <c r="W149" t="s">
        <v>104</v>
      </c>
      <c r="X149">
        <f>+VLOOKUP(O149,[1]DATA!$B$37:$AW$170,48,0)</f>
        <v>712</v>
      </c>
    </row>
    <row r="150" spans="1:24">
      <c r="A150">
        <v>75005484</v>
      </c>
      <c r="B150" t="s">
        <v>1095</v>
      </c>
      <c r="C150" t="s">
        <v>181</v>
      </c>
      <c r="D150" t="s">
        <v>182</v>
      </c>
      <c r="E150" t="s">
        <v>183</v>
      </c>
      <c r="F150" t="s">
        <v>185</v>
      </c>
      <c r="G150" s="55" t="s">
        <v>184</v>
      </c>
      <c r="H150" t="s">
        <v>185</v>
      </c>
      <c r="I150" t="s">
        <v>185</v>
      </c>
      <c r="J150" t="s">
        <v>185</v>
      </c>
      <c r="K150" t="s">
        <v>185</v>
      </c>
      <c r="L150" t="s">
        <v>185</v>
      </c>
      <c r="M150" t="s">
        <v>185</v>
      </c>
      <c r="N150" t="s">
        <v>1096</v>
      </c>
      <c r="O150">
        <v>560367</v>
      </c>
      <c r="P150" t="s">
        <v>1097</v>
      </c>
      <c r="Q150" t="s">
        <v>1098</v>
      </c>
      <c r="R150" t="s">
        <v>1099</v>
      </c>
      <c r="S150">
        <v>420352688480</v>
      </c>
      <c r="T150" t="s">
        <v>1100</v>
      </c>
      <c r="U150" t="s">
        <v>1101</v>
      </c>
      <c r="V150" t="s">
        <v>106</v>
      </c>
      <c r="W150" t="s">
        <v>104</v>
      </c>
      <c r="X150">
        <f>+VLOOKUP(O150,[1]DATA!$B$37:$AW$170,48,0)</f>
        <v>5071</v>
      </c>
    </row>
    <row r="151" spans="1:24" hidden="1">
      <c r="A151">
        <v>75005506</v>
      </c>
      <c r="B151" t="s">
        <v>1102</v>
      </c>
      <c r="C151" t="s">
        <v>181</v>
      </c>
      <c r="D151" t="s">
        <v>182</v>
      </c>
      <c r="E151" t="s">
        <v>183</v>
      </c>
      <c r="F151" t="s">
        <v>184</v>
      </c>
      <c r="G151" s="56" t="s">
        <v>185</v>
      </c>
      <c r="H151" t="s">
        <v>185</v>
      </c>
      <c r="I151" t="s">
        <v>185</v>
      </c>
      <c r="J151" t="s">
        <v>185</v>
      </c>
      <c r="K151" t="s">
        <v>185</v>
      </c>
      <c r="L151" t="s">
        <v>185</v>
      </c>
      <c r="M151" t="s">
        <v>185</v>
      </c>
      <c r="N151" t="s">
        <v>1103</v>
      </c>
      <c r="O151">
        <v>560367</v>
      </c>
      <c r="P151" t="s">
        <v>1097</v>
      </c>
      <c r="Q151" t="s">
        <v>1104</v>
      </c>
      <c r="R151" t="s">
        <v>1105</v>
      </c>
      <c r="S151">
        <v>420352688293</v>
      </c>
      <c r="T151" t="s">
        <v>1106</v>
      </c>
      <c r="U151" t="s">
        <v>1107</v>
      </c>
      <c r="V151" t="s">
        <v>106</v>
      </c>
      <c r="W151" t="s">
        <v>104</v>
      </c>
      <c r="X151">
        <f>+VLOOKUP(O151,[1]DATA!$B$37:$AW$170,48,0)</f>
        <v>5071</v>
      </c>
    </row>
    <row r="152" spans="1:24" hidden="1">
      <c r="A152">
        <v>75005441</v>
      </c>
      <c r="B152" t="s">
        <v>1108</v>
      </c>
      <c r="C152" t="s">
        <v>181</v>
      </c>
      <c r="D152" t="s">
        <v>182</v>
      </c>
      <c r="E152" t="s">
        <v>183</v>
      </c>
      <c r="F152" t="s">
        <v>185</v>
      </c>
      <c r="G152" s="56" t="s">
        <v>185</v>
      </c>
      <c r="H152" t="s">
        <v>185</v>
      </c>
      <c r="I152" t="s">
        <v>185</v>
      </c>
      <c r="J152" t="s">
        <v>185</v>
      </c>
      <c r="K152" t="s">
        <v>185</v>
      </c>
      <c r="L152" t="s">
        <v>184</v>
      </c>
      <c r="M152" t="s">
        <v>184</v>
      </c>
      <c r="N152" t="s">
        <v>1109</v>
      </c>
      <c r="O152">
        <v>560367</v>
      </c>
      <c r="P152" t="s">
        <v>1097</v>
      </c>
      <c r="Q152" t="s">
        <v>1110</v>
      </c>
      <c r="R152" t="s">
        <v>1111</v>
      </c>
      <c r="S152">
        <v>420352688435</v>
      </c>
      <c r="T152" t="s">
        <v>1112</v>
      </c>
      <c r="U152" t="s">
        <v>1113</v>
      </c>
      <c r="V152" t="s">
        <v>106</v>
      </c>
      <c r="W152" t="s">
        <v>104</v>
      </c>
      <c r="X152">
        <f>+VLOOKUP(O152,[1]DATA!$B$37:$AW$170,48,0)</f>
        <v>5071</v>
      </c>
    </row>
    <row r="153" spans="1:24" hidden="1">
      <c r="A153">
        <v>75005492</v>
      </c>
      <c r="B153" t="s">
        <v>1114</v>
      </c>
      <c r="C153" t="s">
        <v>181</v>
      </c>
      <c r="D153" t="s">
        <v>182</v>
      </c>
      <c r="E153" t="s">
        <v>183</v>
      </c>
      <c r="F153" t="s">
        <v>184</v>
      </c>
      <c r="G153" s="56" t="s">
        <v>185</v>
      </c>
      <c r="H153" t="s">
        <v>185</v>
      </c>
      <c r="I153" t="s">
        <v>185</v>
      </c>
      <c r="J153" t="s">
        <v>185</v>
      </c>
      <c r="K153" t="s">
        <v>185</v>
      </c>
      <c r="L153" t="s">
        <v>185</v>
      </c>
      <c r="M153" t="s">
        <v>185</v>
      </c>
      <c r="N153" t="s">
        <v>1115</v>
      </c>
      <c r="O153">
        <v>560367</v>
      </c>
      <c r="P153" t="s">
        <v>1097</v>
      </c>
      <c r="Q153" t="s">
        <v>1116</v>
      </c>
      <c r="R153" t="s">
        <v>1117</v>
      </c>
      <c r="S153">
        <v>420352688416</v>
      </c>
      <c r="T153" t="s">
        <v>1118</v>
      </c>
      <c r="U153" t="s">
        <v>1119</v>
      </c>
      <c r="V153" t="s">
        <v>106</v>
      </c>
      <c r="W153" t="s">
        <v>104</v>
      </c>
      <c r="X153">
        <f>+VLOOKUP(O153,[1]DATA!$B$37:$AW$170,48,0)</f>
        <v>5071</v>
      </c>
    </row>
    <row r="154" spans="1:24">
      <c r="A154">
        <v>75005476</v>
      </c>
      <c r="B154" t="s">
        <v>1120</v>
      </c>
      <c r="C154" t="s">
        <v>181</v>
      </c>
      <c r="D154" t="s">
        <v>182</v>
      </c>
      <c r="E154" t="s">
        <v>183</v>
      </c>
      <c r="F154" t="s">
        <v>185</v>
      </c>
      <c r="G154" s="55" t="s">
        <v>184</v>
      </c>
      <c r="H154" t="s">
        <v>185</v>
      </c>
      <c r="I154" t="s">
        <v>185</v>
      </c>
      <c r="J154" t="s">
        <v>185</v>
      </c>
      <c r="K154" t="s">
        <v>185</v>
      </c>
      <c r="L154" t="s">
        <v>185</v>
      </c>
      <c r="M154" t="s">
        <v>185</v>
      </c>
      <c r="N154" t="s">
        <v>1121</v>
      </c>
      <c r="O154">
        <v>560367</v>
      </c>
      <c r="P154" t="s">
        <v>1097</v>
      </c>
      <c r="Q154" t="s">
        <v>1122</v>
      </c>
      <c r="R154" t="s">
        <v>1123</v>
      </c>
      <c r="S154">
        <v>420354229702</v>
      </c>
      <c r="T154" t="s">
        <v>1124</v>
      </c>
      <c r="U154" t="s">
        <v>1125</v>
      </c>
      <c r="V154" t="s">
        <v>106</v>
      </c>
      <c r="W154" t="s">
        <v>104</v>
      </c>
      <c r="X154">
        <f>+VLOOKUP(O154,[1]DATA!$B$37:$AW$170,48,0)</f>
        <v>5071</v>
      </c>
    </row>
    <row r="155" spans="1:24" hidden="1">
      <c r="A155">
        <v>75005450</v>
      </c>
      <c r="B155" t="s">
        <v>1126</v>
      </c>
      <c r="C155" t="s">
        <v>181</v>
      </c>
      <c r="D155" t="s">
        <v>182</v>
      </c>
      <c r="E155" t="s">
        <v>183</v>
      </c>
      <c r="F155" t="s">
        <v>185</v>
      </c>
      <c r="G155" s="56" t="s">
        <v>185</v>
      </c>
      <c r="H155" t="s">
        <v>185</v>
      </c>
      <c r="I155" t="s">
        <v>185</v>
      </c>
      <c r="J155" t="s">
        <v>185</v>
      </c>
      <c r="K155" t="s">
        <v>184</v>
      </c>
      <c r="L155" t="s">
        <v>185</v>
      </c>
      <c r="M155" t="s">
        <v>185</v>
      </c>
      <c r="N155" t="s">
        <v>1127</v>
      </c>
      <c r="O155">
        <v>560367</v>
      </c>
      <c r="P155" t="s">
        <v>1097</v>
      </c>
      <c r="Q155" t="s">
        <v>1128</v>
      </c>
      <c r="R155" t="s">
        <v>1129</v>
      </c>
      <c r="S155">
        <v>420728342693</v>
      </c>
      <c r="T155" t="s">
        <v>1130</v>
      </c>
      <c r="U155" t="s">
        <v>1131</v>
      </c>
      <c r="V155" t="s">
        <v>106</v>
      </c>
      <c r="W155" t="s">
        <v>104</v>
      </c>
      <c r="X155">
        <f>+VLOOKUP(O155,[1]DATA!$B$37:$AW$170,48,0)</f>
        <v>5071</v>
      </c>
    </row>
    <row r="156" spans="1:24">
      <c r="A156">
        <v>60610832</v>
      </c>
      <c r="B156" t="s">
        <v>1132</v>
      </c>
      <c r="C156" t="s">
        <v>181</v>
      </c>
      <c r="D156" t="s">
        <v>182</v>
      </c>
      <c r="E156" t="s">
        <v>183</v>
      </c>
      <c r="F156" t="s">
        <v>184</v>
      </c>
      <c r="G156" s="55" t="s">
        <v>184</v>
      </c>
      <c r="H156" t="s">
        <v>185</v>
      </c>
      <c r="I156" t="s">
        <v>185</v>
      </c>
      <c r="J156" t="s">
        <v>185</v>
      </c>
      <c r="K156" t="s">
        <v>185</v>
      </c>
      <c r="L156" t="s">
        <v>185</v>
      </c>
      <c r="M156" t="s">
        <v>185</v>
      </c>
      <c r="N156" t="s">
        <v>1133</v>
      </c>
      <c r="O156">
        <v>554979</v>
      </c>
      <c r="P156" t="s">
        <v>1134</v>
      </c>
      <c r="Q156" t="s">
        <v>1135</v>
      </c>
      <c r="R156" t="s">
        <v>1136</v>
      </c>
      <c r="S156">
        <v>420353892268</v>
      </c>
      <c r="T156" t="s">
        <v>1137</v>
      </c>
      <c r="U156" t="s">
        <v>1138</v>
      </c>
      <c r="V156" t="s">
        <v>103</v>
      </c>
      <c r="W156" t="s">
        <v>101</v>
      </c>
      <c r="X156">
        <f>+VLOOKUP(O156,[1]DATA!$B$37:$AW$170,48,0)</f>
        <v>817</v>
      </c>
    </row>
    <row r="157" spans="1:24" hidden="1">
      <c r="A157">
        <v>70939446</v>
      </c>
      <c r="B157" t="s">
        <v>1139</v>
      </c>
      <c r="C157" t="s">
        <v>181</v>
      </c>
      <c r="D157" t="s">
        <v>182</v>
      </c>
      <c r="E157" t="s">
        <v>183</v>
      </c>
      <c r="F157" t="s">
        <v>184</v>
      </c>
      <c r="G157" s="56" t="s">
        <v>185</v>
      </c>
      <c r="H157" t="s">
        <v>185</v>
      </c>
      <c r="I157" t="s">
        <v>185</v>
      </c>
      <c r="J157" t="s">
        <v>185</v>
      </c>
      <c r="K157" t="s">
        <v>185</v>
      </c>
      <c r="L157" t="s">
        <v>185</v>
      </c>
      <c r="M157" t="s">
        <v>185</v>
      </c>
      <c r="N157" t="s">
        <v>1140</v>
      </c>
      <c r="O157">
        <v>555398</v>
      </c>
      <c r="P157" t="s">
        <v>1061</v>
      </c>
      <c r="Q157" t="s">
        <v>1141</v>
      </c>
      <c r="R157" t="s">
        <v>1142</v>
      </c>
      <c r="S157">
        <v>420733642171</v>
      </c>
      <c r="T157" t="s">
        <v>1143</v>
      </c>
      <c r="U157" t="s">
        <v>1144</v>
      </c>
      <c r="V157" t="s">
        <v>102</v>
      </c>
      <c r="W157" t="s">
        <v>101</v>
      </c>
      <c r="X157">
        <f>+VLOOKUP(O157,[1]DATA!$B$37:$AW$170,48,0)</f>
        <v>4298</v>
      </c>
    </row>
    <row r="158" spans="1:24" hidden="1">
      <c r="A158">
        <v>71237003</v>
      </c>
      <c r="B158" t="s">
        <v>1145</v>
      </c>
      <c r="C158" t="s">
        <v>181</v>
      </c>
      <c r="D158" t="s">
        <v>182</v>
      </c>
      <c r="E158" t="s">
        <v>183</v>
      </c>
      <c r="F158" t="s">
        <v>184</v>
      </c>
      <c r="G158" s="56" t="s">
        <v>185</v>
      </c>
      <c r="H158" t="s">
        <v>185</v>
      </c>
      <c r="I158" t="s">
        <v>185</v>
      </c>
      <c r="J158" t="s">
        <v>185</v>
      </c>
      <c r="K158" t="s">
        <v>185</v>
      </c>
      <c r="L158" t="s">
        <v>185</v>
      </c>
      <c r="M158" t="s">
        <v>185</v>
      </c>
      <c r="N158" t="s">
        <v>1146</v>
      </c>
      <c r="O158">
        <v>554961</v>
      </c>
      <c r="P158" t="s">
        <v>1147</v>
      </c>
      <c r="Q158" t="s">
        <v>1148</v>
      </c>
      <c r="R158" t="s">
        <v>1149</v>
      </c>
      <c r="S158">
        <v>420353232421</v>
      </c>
      <c r="T158" t="s">
        <v>1150</v>
      </c>
      <c r="U158" t="s">
        <v>1151</v>
      </c>
      <c r="V158" t="s">
        <v>102</v>
      </c>
      <c r="W158" t="s">
        <v>101</v>
      </c>
      <c r="X158">
        <f>+VLOOKUP(O158,[1]DATA!$B$37:$AW$170,48,0)</f>
        <v>48788</v>
      </c>
    </row>
    <row r="159" spans="1:24">
      <c r="A159">
        <v>49751751</v>
      </c>
      <c r="B159" t="s">
        <v>1152</v>
      </c>
      <c r="C159" t="s">
        <v>181</v>
      </c>
      <c r="D159" t="s">
        <v>182</v>
      </c>
      <c r="E159" t="s">
        <v>183</v>
      </c>
      <c r="F159" t="s">
        <v>185</v>
      </c>
      <c r="G159" s="55" t="s">
        <v>184</v>
      </c>
      <c r="H159" t="s">
        <v>185</v>
      </c>
      <c r="I159" t="s">
        <v>185</v>
      </c>
      <c r="J159" t="s">
        <v>185</v>
      </c>
      <c r="K159" t="s">
        <v>185</v>
      </c>
      <c r="L159" t="s">
        <v>185</v>
      </c>
      <c r="M159" t="s">
        <v>185</v>
      </c>
      <c r="N159" t="s">
        <v>1153</v>
      </c>
      <c r="O159">
        <v>554961</v>
      </c>
      <c r="P159" t="s">
        <v>1147</v>
      </c>
      <c r="Q159" t="s">
        <v>1154</v>
      </c>
      <c r="R159" t="s">
        <v>1155</v>
      </c>
      <c r="S159">
        <v>420353562283</v>
      </c>
      <c r="T159" t="s">
        <v>1156</v>
      </c>
      <c r="U159" t="s">
        <v>1157</v>
      </c>
      <c r="V159" t="s">
        <v>102</v>
      </c>
      <c r="W159" t="s">
        <v>101</v>
      </c>
      <c r="X159">
        <f>+VLOOKUP(O159,[1]DATA!$B$37:$AW$170,48,0)</f>
        <v>48788</v>
      </c>
    </row>
    <row r="160" spans="1:24">
      <c r="A160">
        <v>70933774</v>
      </c>
      <c r="B160" t="s">
        <v>1158</v>
      </c>
      <c r="C160" t="s">
        <v>181</v>
      </c>
      <c r="D160" t="s">
        <v>182</v>
      </c>
      <c r="E160" t="s">
        <v>183</v>
      </c>
      <c r="F160" t="s">
        <v>185</v>
      </c>
      <c r="G160" s="55" t="s">
        <v>184</v>
      </c>
      <c r="H160" t="s">
        <v>185</v>
      </c>
      <c r="I160" t="s">
        <v>185</v>
      </c>
      <c r="J160" t="s">
        <v>185</v>
      </c>
      <c r="K160" t="s">
        <v>185</v>
      </c>
      <c r="L160" t="s">
        <v>185</v>
      </c>
      <c r="M160" t="s">
        <v>185</v>
      </c>
      <c r="N160" t="s">
        <v>1159</v>
      </c>
      <c r="O160">
        <v>554961</v>
      </c>
      <c r="P160" t="s">
        <v>1147</v>
      </c>
      <c r="Q160" t="s">
        <v>1160</v>
      </c>
      <c r="R160" t="s">
        <v>1161</v>
      </c>
      <c r="S160">
        <v>420353563426</v>
      </c>
      <c r="T160" t="s">
        <v>1162</v>
      </c>
      <c r="U160" t="s">
        <v>1163</v>
      </c>
      <c r="V160" t="s">
        <v>102</v>
      </c>
      <c r="W160" t="s">
        <v>101</v>
      </c>
      <c r="X160">
        <f>+VLOOKUP(O160,[1]DATA!$B$37:$AW$170,48,0)</f>
        <v>48788</v>
      </c>
    </row>
    <row r="161" spans="1:24">
      <c r="A161">
        <v>60610395</v>
      </c>
      <c r="B161" t="s">
        <v>1164</v>
      </c>
      <c r="C161" t="s">
        <v>181</v>
      </c>
      <c r="D161" t="s">
        <v>182</v>
      </c>
      <c r="E161" t="s">
        <v>183</v>
      </c>
      <c r="F161" t="s">
        <v>184</v>
      </c>
      <c r="G161" s="55" t="s">
        <v>184</v>
      </c>
      <c r="H161" t="s">
        <v>185</v>
      </c>
      <c r="I161" t="s">
        <v>185</v>
      </c>
      <c r="J161" t="s">
        <v>185</v>
      </c>
      <c r="K161" t="s">
        <v>185</v>
      </c>
      <c r="L161" t="s">
        <v>185</v>
      </c>
      <c r="M161" t="s">
        <v>185</v>
      </c>
      <c r="N161" t="s">
        <v>1165</v>
      </c>
      <c r="O161">
        <v>554995</v>
      </c>
      <c r="P161" t="s">
        <v>1166</v>
      </c>
      <c r="Q161" t="s">
        <v>1167</v>
      </c>
      <c r="R161" t="s">
        <v>1168</v>
      </c>
      <c r="S161">
        <v>420731653209</v>
      </c>
      <c r="T161" t="s">
        <v>1169</v>
      </c>
      <c r="U161" t="s">
        <v>1170</v>
      </c>
      <c r="V161" t="s">
        <v>102</v>
      </c>
      <c r="W161" t="s">
        <v>101</v>
      </c>
      <c r="X161">
        <f>+VLOOKUP(O161,[1]DATA!$B$37:$AW$170,48,0)</f>
        <v>911</v>
      </c>
    </row>
    <row r="162" spans="1:24" hidden="1">
      <c r="A162">
        <v>6133584</v>
      </c>
      <c r="B162" t="s">
        <v>1171</v>
      </c>
      <c r="C162" t="s">
        <v>181</v>
      </c>
      <c r="D162" t="s">
        <v>182</v>
      </c>
      <c r="E162" t="s">
        <v>183</v>
      </c>
      <c r="F162" t="s">
        <v>185</v>
      </c>
      <c r="G162" s="56" t="s">
        <v>185</v>
      </c>
      <c r="H162" t="s">
        <v>185</v>
      </c>
      <c r="I162" t="s">
        <v>185</v>
      </c>
      <c r="J162" t="s">
        <v>185</v>
      </c>
      <c r="K162" t="s">
        <v>185</v>
      </c>
      <c r="L162" t="s">
        <v>184</v>
      </c>
      <c r="M162" t="s">
        <v>185</v>
      </c>
      <c r="N162" t="s">
        <v>1172</v>
      </c>
      <c r="O162">
        <v>554961</v>
      </c>
      <c r="P162" t="s">
        <v>1147</v>
      </c>
      <c r="Q162" t="s">
        <v>1173</v>
      </c>
      <c r="R162" t="s">
        <v>1174</v>
      </c>
      <c r="S162">
        <v>420731636621</v>
      </c>
      <c r="T162" t="s">
        <v>1175</v>
      </c>
      <c r="U162" t="s">
        <v>1176</v>
      </c>
      <c r="V162" t="s">
        <v>102</v>
      </c>
      <c r="W162" t="s">
        <v>101</v>
      </c>
      <c r="X162">
        <f>+VLOOKUP(O162,[1]DATA!$B$37:$AW$170,48,0)</f>
        <v>48788</v>
      </c>
    </row>
    <row r="163" spans="1:24">
      <c r="A163">
        <v>49753754</v>
      </c>
      <c r="B163" t="s">
        <v>1177</v>
      </c>
      <c r="C163" t="s">
        <v>181</v>
      </c>
      <c r="D163" t="s">
        <v>182</v>
      </c>
      <c r="E163" t="s">
        <v>183</v>
      </c>
      <c r="F163" t="s">
        <v>185</v>
      </c>
      <c r="G163" s="55" t="s">
        <v>184</v>
      </c>
      <c r="H163" t="s">
        <v>185</v>
      </c>
      <c r="I163" t="s">
        <v>185</v>
      </c>
      <c r="J163" t="s">
        <v>185</v>
      </c>
      <c r="K163" t="s">
        <v>185</v>
      </c>
      <c r="L163" t="s">
        <v>185</v>
      </c>
      <c r="M163" t="s">
        <v>185</v>
      </c>
      <c r="N163" t="s">
        <v>1178</v>
      </c>
      <c r="O163">
        <v>554961</v>
      </c>
      <c r="P163" t="s">
        <v>1147</v>
      </c>
      <c r="Q163" t="s">
        <v>1179</v>
      </c>
      <c r="R163" t="s">
        <v>1180</v>
      </c>
      <c r="S163">
        <v>420702222756</v>
      </c>
      <c r="T163" t="s">
        <v>1181</v>
      </c>
      <c r="U163" t="s">
        <v>1182</v>
      </c>
      <c r="V163" t="s">
        <v>102</v>
      </c>
      <c r="W163" t="s">
        <v>101</v>
      </c>
      <c r="X163">
        <f>+VLOOKUP(O163,[1]DATA!$B$37:$AW$170,48,0)</f>
        <v>48788</v>
      </c>
    </row>
    <row r="164" spans="1:24">
      <c r="A164">
        <v>70933758</v>
      </c>
      <c r="B164" t="s">
        <v>1183</v>
      </c>
      <c r="C164" t="s">
        <v>181</v>
      </c>
      <c r="D164" t="s">
        <v>182</v>
      </c>
      <c r="E164" t="s">
        <v>183</v>
      </c>
      <c r="F164" t="s">
        <v>185</v>
      </c>
      <c r="G164" s="55" t="s">
        <v>184</v>
      </c>
      <c r="H164" t="s">
        <v>185</v>
      </c>
      <c r="I164" t="s">
        <v>185</v>
      </c>
      <c r="J164" t="s">
        <v>185</v>
      </c>
      <c r="K164" t="s">
        <v>185</v>
      </c>
      <c r="L164" t="s">
        <v>185</v>
      </c>
      <c r="M164" t="s">
        <v>185</v>
      </c>
      <c r="N164" t="s">
        <v>1184</v>
      </c>
      <c r="O164">
        <v>554961</v>
      </c>
      <c r="P164" t="s">
        <v>1147</v>
      </c>
      <c r="Q164" t="s">
        <v>1185</v>
      </c>
      <c r="R164" t="s">
        <v>1186</v>
      </c>
      <c r="S164">
        <v>420725595503</v>
      </c>
      <c r="T164" t="s">
        <v>1187</v>
      </c>
      <c r="U164" t="s">
        <v>1188</v>
      </c>
      <c r="V164" t="s">
        <v>102</v>
      </c>
      <c r="W164" t="s">
        <v>101</v>
      </c>
      <c r="X164">
        <f>+VLOOKUP(O164,[1]DATA!$B$37:$AW$170,48,0)</f>
        <v>48788</v>
      </c>
    </row>
    <row r="165" spans="1:24">
      <c r="A165">
        <v>49752626</v>
      </c>
      <c r="B165" t="s">
        <v>1189</v>
      </c>
      <c r="C165" t="s">
        <v>181</v>
      </c>
      <c r="D165" t="s">
        <v>182</v>
      </c>
      <c r="E165" t="s">
        <v>183</v>
      </c>
      <c r="F165" t="s">
        <v>185</v>
      </c>
      <c r="G165" s="55" t="s">
        <v>184</v>
      </c>
      <c r="H165" t="s">
        <v>185</v>
      </c>
      <c r="I165" t="s">
        <v>185</v>
      </c>
      <c r="J165" t="s">
        <v>185</v>
      </c>
      <c r="K165" t="s">
        <v>184</v>
      </c>
      <c r="L165" t="s">
        <v>185</v>
      </c>
      <c r="M165" t="s">
        <v>185</v>
      </c>
      <c r="N165" t="s">
        <v>1190</v>
      </c>
      <c r="O165">
        <v>554961</v>
      </c>
      <c r="P165" t="s">
        <v>1147</v>
      </c>
      <c r="Q165" t="s">
        <v>1191</v>
      </c>
      <c r="R165" t="s">
        <v>1192</v>
      </c>
      <c r="S165">
        <v>420353447021</v>
      </c>
      <c r="T165" t="s">
        <v>1193</v>
      </c>
      <c r="U165" t="s">
        <v>1194</v>
      </c>
      <c r="V165" t="s">
        <v>102</v>
      </c>
      <c r="W165" t="s">
        <v>101</v>
      </c>
      <c r="X165">
        <f>+VLOOKUP(O165,[1]DATA!$B$37:$AW$170,48,0)</f>
        <v>48788</v>
      </c>
    </row>
    <row r="166" spans="1:24">
      <c r="A166">
        <v>71004777</v>
      </c>
      <c r="B166" t="s">
        <v>1195</v>
      </c>
      <c r="C166" t="s">
        <v>181</v>
      </c>
      <c r="D166" t="s">
        <v>182</v>
      </c>
      <c r="E166" t="s">
        <v>183</v>
      </c>
      <c r="F166" t="s">
        <v>185</v>
      </c>
      <c r="G166" s="55" t="s">
        <v>184</v>
      </c>
      <c r="H166" t="s">
        <v>185</v>
      </c>
      <c r="I166" t="s">
        <v>185</v>
      </c>
      <c r="J166" t="s">
        <v>185</v>
      </c>
      <c r="K166" t="s">
        <v>185</v>
      </c>
      <c r="L166" t="s">
        <v>185</v>
      </c>
      <c r="M166" t="s">
        <v>185</v>
      </c>
      <c r="N166" t="s">
        <v>1196</v>
      </c>
      <c r="O166">
        <v>555363</v>
      </c>
      <c r="P166" t="s">
        <v>1197</v>
      </c>
      <c r="Q166" t="s">
        <v>1198</v>
      </c>
      <c r="R166" t="s">
        <v>1199</v>
      </c>
      <c r="S166">
        <v>420353618182</v>
      </c>
      <c r="T166" t="s">
        <v>1200</v>
      </c>
      <c r="U166" t="s">
        <v>1201</v>
      </c>
      <c r="V166" t="s">
        <v>103</v>
      </c>
      <c r="W166" t="s">
        <v>101</v>
      </c>
      <c r="X166">
        <f>+VLOOKUP(O166,[1]DATA!$B$37:$AW$170,48,0)</f>
        <v>888</v>
      </c>
    </row>
    <row r="167" spans="1:24" hidden="1">
      <c r="A167">
        <v>71004769</v>
      </c>
      <c r="B167" t="s">
        <v>1202</v>
      </c>
      <c r="C167" t="s">
        <v>181</v>
      </c>
      <c r="D167" t="s">
        <v>182</v>
      </c>
      <c r="E167" t="s">
        <v>183</v>
      </c>
      <c r="F167" t="s">
        <v>184</v>
      </c>
      <c r="G167" s="56" t="s">
        <v>185</v>
      </c>
      <c r="H167" t="s">
        <v>185</v>
      </c>
      <c r="I167" t="s">
        <v>185</v>
      </c>
      <c r="J167" t="s">
        <v>185</v>
      </c>
      <c r="K167" t="s">
        <v>185</v>
      </c>
      <c r="L167" t="s">
        <v>185</v>
      </c>
      <c r="M167" t="s">
        <v>185</v>
      </c>
      <c r="N167" t="s">
        <v>1203</v>
      </c>
      <c r="O167">
        <v>555363</v>
      </c>
      <c r="P167" t="s">
        <v>1197</v>
      </c>
      <c r="Q167" t="s">
        <v>1204</v>
      </c>
      <c r="R167" t="s">
        <v>1205</v>
      </c>
      <c r="S167">
        <v>420353618104</v>
      </c>
      <c r="T167" t="s">
        <v>1206</v>
      </c>
      <c r="U167" t="s">
        <v>1207</v>
      </c>
      <c r="V167" t="s">
        <v>103</v>
      </c>
      <c r="W167" t="s">
        <v>101</v>
      </c>
      <c r="X167">
        <f>+VLOOKUP(O167,[1]DATA!$B$37:$AW$170,48,0)</f>
        <v>888</v>
      </c>
    </row>
    <row r="168" spans="1:24" hidden="1">
      <c r="A168">
        <v>7110596</v>
      </c>
      <c r="B168" t="s">
        <v>1208</v>
      </c>
      <c r="C168" t="s">
        <v>181</v>
      </c>
      <c r="D168" t="s">
        <v>182</v>
      </c>
      <c r="E168" t="s">
        <v>183</v>
      </c>
      <c r="F168" t="s">
        <v>185</v>
      </c>
      <c r="G168" s="56" t="s">
        <v>185</v>
      </c>
      <c r="H168" t="s">
        <v>185</v>
      </c>
      <c r="I168" t="s">
        <v>185</v>
      </c>
      <c r="J168" t="s">
        <v>185</v>
      </c>
      <c r="K168" t="s">
        <v>184</v>
      </c>
      <c r="L168" t="s">
        <v>185</v>
      </c>
      <c r="M168" t="s">
        <v>185</v>
      </c>
      <c r="N168" t="s">
        <v>1209</v>
      </c>
      <c r="O168">
        <v>554961</v>
      </c>
      <c r="P168" t="s">
        <v>1147</v>
      </c>
      <c r="Q168" t="s">
        <v>1210</v>
      </c>
      <c r="R168" t="s">
        <v>1211</v>
      </c>
      <c r="S168">
        <v>420353549879</v>
      </c>
      <c r="T168" t="s">
        <v>1212</v>
      </c>
      <c r="U168" t="s">
        <v>1213</v>
      </c>
      <c r="V168" t="s">
        <v>102</v>
      </c>
      <c r="W168" t="s">
        <v>101</v>
      </c>
      <c r="X168">
        <f>+VLOOKUP(O168,[1]DATA!$B$37:$AW$170,48,0)</f>
        <v>48788</v>
      </c>
    </row>
    <row r="169" spans="1:24">
      <c r="A169">
        <v>70933766</v>
      </c>
      <c r="B169" t="s">
        <v>1214</v>
      </c>
      <c r="C169" t="s">
        <v>181</v>
      </c>
      <c r="D169" t="s">
        <v>182</v>
      </c>
      <c r="E169" t="s">
        <v>183</v>
      </c>
      <c r="F169" t="s">
        <v>185</v>
      </c>
      <c r="G169" s="55" t="s">
        <v>184</v>
      </c>
      <c r="H169" t="s">
        <v>185</v>
      </c>
      <c r="I169" t="s">
        <v>185</v>
      </c>
      <c r="J169" t="s">
        <v>185</v>
      </c>
      <c r="K169" t="s">
        <v>185</v>
      </c>
      <c r="L169" t="s">
        <v>185</v>
      </c>
      <c r="M169" t="s">
        <v>185</v>
      </c>
      <c r="N169" t="s">
        <v>1215</v>
      </c>
      <c r="O169">
        <v>554961</v>
      </c>
      <c r="P169" t="s">
        <v>1147</v>
      </c>
      <c r="Q169" t="s">
        <v>1216</v>
      </c>
      <c r="R169" t="s">
        <v>1217</v>
      </c>
      <c r="S169">
        <v>420775855597</v>
      </c>
      <c r="T169" t="s">
        <v>1218</v>
      </c>
      <c r="U169" t="s">
        <v>1219</v>
      </c>
      <c r="V169" t="s">
        <v>102</v>
      </c>
      <c r="W169" t="s">
        <v>101</v>
      </c>
      <c r="X169">
        <f>+VLOOKUP(O169,[1]DATA!$B$37:$AW$170,48,0)</f>
        <v>48788</v>
      </c>
    </row>
    <row r="170" spans="1:24">
      <c r="A170">
        <v>69979359</v>
      </c>
      <c r="B170" t="s">
        <v>1220</v>
      </c>
      <c r="C170" t="s">
        <v>181</v>
      </c>
      <c r="D170" t="s">
        <v>182</v>
      </c>
      <c r="E170" t="s">
        <v>183</v>
      </c>
      <c r="F170" t="s">
        <v>185</v>
      </c>
      <c r="G170" s="55" t="s">
        <v>184</v>
      </c>
      <c r="H170" t="s">
        <v>185</v>
      </c>
      <c r="I170" t="s">
        <v>185</v>
      </c>
      <c r="J170" t="s">
        <v>185</v>
      </c>
      <c r="K170" t="s">
        <v>185</v>
      </c>
      <c r="L170" t="s">
        <v>185</v>
      </c>
      <c r="M170" t="s">
        <v>185</v>
      </c>
      <c r="N170" t="s">
        <v>1221</v>
      </c>
      <c r="O170">
        <v>554961</v>
      </c>
      <c r="P170" t="s">
        <v>1147</v>
      </c>
      <c r="Q170" t="s">
        <v>1222</v>
      </c>
      <c r="R170" t="s">
        <v>1223</v>
      </c>
      <c r="S170">
        <v>420731612837</v>
      </c>
      <c r="T170" t="s">
        <v>1224</v>
      </c>
      <c r="U170" t="s">
        <v>1225</v>
      </c>
      <c r="V170" t="s">
        <v>102</v>
      </c>
      <c r="W170" t="s">
        <v>101</v>
      </c>
      <c r="X170">
        <f>+VLOOKUP(O170,[1]DATA!$B$37:$AW$170,48,0)</f>
        <v>48788</v>
      </c>
    </row>
    <row r="171" spans="1:24" hidden="1">
      <c r="A171">
        <v>71237011</v>
      </c>
      <c r="B171" t="s">
        <v>1226</v>
      </c>
      <c r="C171" t="s">
        <v>181</v>
      </c>
      <c r="D171" t="s">
        <v>182</v>
      </c>
      <c r="E171" t="s">
        <v>183</v>
      </c>
      <c r="F171" t="s">
        <v>184</v>
      </c>
      <c r="G171" s="56" t="s">
        <v>185</v>
      </c>
      <c r="H171" t="s">
        <v>185</v>
      </c>
      <c r="I171" t="s">
        <v>185</v>
      </c>
      <c r="J171" t="s">
        <v>185</v>
      </c>
      <c r="K171" t="s">
        <v>185</v>
      </c>
      <c r="L171" t="s">
        <v>185</v>
      </c>
      <c r="M171" t="s">
        <v>185</v>
      </c>
      <c r="N171" t="s">
        <v>1227</v>
      </c>
      <c r="O171">
        <v>554961</v>
      </c>
      <c r="P171" t="s">
        <v>1147</v>
      </c>
      <c r="Q171" t="s">
        <v>1228</v>
      </c>
      <c r="R171" t="s">
        <v>1229</v>
      </c>
      <c r="S171">
        <v>420602339500</v>
      </c>
      <c r="T171" t="s">
        <v>1230</v>
      </c>
      <c r="U171" t="s">
        <v>1231</v>
      </c>
      <c r="V171" t="s">
        <v>102</v>
      </c>
      <c r="W171" t="s">
        <v>101</v>
      </c>
      <c r="X171">
        <f>+VLOOKUP(O171,[1]DATA!$B$37:$AW$170,48,0)</f>
        <v>48788</v>
      </c>
    </row>
    <row r="172" spans="1:24">
      <c r="A172">
        <v>73740420</v>
      </c>
      <c r="B172" t="s">
        <v>1232</v>
      </c>
      <c r="C172" t="s">
        <v>181</v>
      </c>
      <c r="D172" t="s">
        <v>182</v>
      </c>
      <c r="E172" t="s">
        <v>183</v>
      </c>
      <c r="F172" t="s">
        <v>185</v>
      </c>
      <c r="G172" s="55" t="s">
        <v>184</v>
      </c>
      <c r="H172" t="s">
        <v>185</v>
      </c>
      <c r="I172" t="s">
        <v>185</v>
      </c>
      <c r="J172" t="s">
        <v>185</v>
      </c>
      <c r="K172" t="s">
        <v>185</v>
      </c>
      <c r="L172" t="s">
        <v>185</v>
      </c>
      <c r="M172" t="s">
        <v>185</v>
      </c>
      <c r="N172" t="s">
        <v>1233</v>
      </c>
      <c r="O172">
        <v>555631</v>
      </c>
      <c r="P172" t="s">
        <v>1234</v>
      </c>
      <c r="Q172" t="s">
        <v>1235</v>
      </c>
      <c r="R172" t="s">
        <v>1236</v>
      </c>
      <c r="S172">
        <v>420353392241</v>
      </c>
      <c r="T172" t="s">
        <v>1237</v>
      </c>
      <c r="U172" t="s">
        <v>1238</v>
      </c>
      <c r="V172" t="s">
        <v>100</v>
      </c>
      <c r="W172" t="s">
        <v>97</v>
      </c>
      <c r="X172">
        <f>+VLOOKUP(O172,[1]DATA!$B$37:$AW$170,48,0)</f>
        <v>2909</v>
      </c>
    </row>
    <row r="173" spans="1:24" hidden="1">
      <c r="A173">
        <v>70883556</v>
      </c>
      <c r="B173" t="s">
        <v>1239</v>
      </c>
      <c r="C173" t="s">
        <v>181</v>
      </c>
      <c r="D173" t="s">
        <v>182</v>
      </c>
      <c r="E173" t="s">
        <v>183</v>
      </c>
      <c r="F173" t="s">
        <v>184</v>
      </c>
      <c r="G173" s="56" t="s">
        <v>185</v>
      </c>
      <c r="H173" t="s">
        <v>185</v>
      </c>
      <c r="I173" t="s">
        <v>185</v>
      </c>
      <c r="J173" t="s">
        <v>185</v>
      </c>
      <c r="K173" t="s">
        <v>185</v>
      </c>
      <c r="L173" t="s">
        <v>185</v>
      </c>
      <c r="M173" t="s">
        <v>185</v>
      </c>
      <c r="N173" t="s">
        <v>1240</v>
      </c>
      <c r="O173">
        <v>537870</v>
      </c>
      <c r="P173" t="s">
        <v>1241</v>
      </c>
      <c r="Q173" t="s">
        <v>1242</v>
      </c>
      <c r="R173" t="s">
        <v>1243</v>
      </c>
      <c r="S173">
        <v>420353223656</v>
      </c>
      <c r="T173" t="s">
        <v>1244</v>
      </c>
      <c r="U173" t="s">
        <v>1245</v>
      </c>
      <c r="V173" t="s">
        <v>102</v>
      </c>
      <c r="W173" t="s">
        <v>101</v>
      </c>
      <c r="X173">
        <f>+VLOOKUP(O173,[1]DATA!$B$37:$AW$170,48,0)</f>
        <v>714</v>
      </c>
    </row>
    <row r="174" spans="1:24" hidden="1">
      <c r="A174">
        <v>66362245</v>
      </c>
      <c r="B174" t="s">
        <v>1246</v>
      </c>
      <c r="C174" t="s">
        <v>181</v>
      </c>
      <c r="D174" t="s">
        <v>182</v>
      </c>
      <c r="E174" t="s">
        <v>183</v>
      </c>
      <c r="F174" t="s">
        <v>185</v>
      </c>
      <c r="G174" s="56" t="s">
        <v>185</v>
      </c>
      <c r="H174" t="s">
        <v>185</v>
      </c>
      <c r="I174" t="s">
        <v>185</v>
      </c>
      <c r="J174" t="s">
        <v>185</v>
      </c>
      <c r="K174" t="s">
        <v>184</v>
      </c>
      <c r="L174" t="s">
        <v>185</v>
      </c>
      <c r="M174" t="s">
        <v>185</v>
      </c>
      <c r="N174" t="s">
        <v>1247</v>
      </c>
      <c r="O174">
        <v>555631</v>
      </c>
      <c r="P174" t="s">
        <v>1234</v>
      </c>
      <c r="Q174" t="s">
        <v>1248</v>
      </c>
      <c r="R174" t="s">
        <v>1249</v>
      </c>
      <c r="S174">
        <v>420775729221</v>
      </c>
      <c r="T174" t="s">
        <v>1250</v>
      </c>
      <c r="U174" t="s">
        <v>1251</v>
      </c>
      <c r="V174" t="s">
        <v>100</v>
      </c>
      <c r="W174" t="s">
        <v>97</v>
      </c>
      <c r="X174">
        <f>+VLOOKUP(O174,[1]DATA!$B$37:$AW$170,48,0)</f>
        <v>2909</v>
      </c>
    </row>
    <row r="175" spans="1:24" hidden="1">
      <c r="A175">
        <v>60611367</v>
      </c>
      <c r="B175" t="s">
        <v>1252</v>
      </c>
      <c r="C175" t="s">
        <v>181</v>
      </c>
      <c r="D175" t="s">
        <v>182</v>
      </c>
      <c r="E175" t="s">
        <v>183</v>
      </c>
      <c r="F175" t="s">
        <v>184</v>
      </c>
      <c r="G175" s="56" t="s">
        <v>185</v>
      </c>
      <c r="H175" t="s">
        <v>185</v>
      </c>
      <c r="I175" t="s">
        <v>185</v>
      </c>
      <c r="J175" t="s">
        <v>185</v>
      </c>
      <c r="K175" t="s">
        <v>185</v>
      </c>
      <c r="L175" t="s">
        <v>185</v>
      </c>
      <c r="M175" t="s">
        <v>185</v>
      </c>
      <c r="N175" t="s">
        <v>1253</v>
      </c>
      <c r="O175">
        <v>555631</v>
      </c>
      <c r="P175" t="s">
        <v>1234</v>
      </c>
      <c r="Q175" t="s">
        <v>1254</v>
      </c>
      <c r="R175" t="s">
        <v>1255</v>
      </c>
      <c r="S175">
        <v>420353392261</v>
      </c>
      <c r="T175" t="s">
        <v>1256</v>
      </c>
      <c r="U175" t="s">
        <v>1257</v>
      </c>
      <c r="V175" t="s">
        <v>100</v>
      </c>
      <c r="W175" t="s">
        <v>97</v>
      </c>
      <c r="X175">
        <f>+VLOOKUP(O175,[1]DATA!$B$37:$AW$170,48,0)</f>
        <v>2909</v>
      </c>
    </row>
    <row r="176" spans="1:24">
      <c r="A176">
        <v>75006049</v>
      </c>
      <c r="B176" t="s">
        <v>1258</v>
      </c>
      <c r="C176" t="s">
        <v>181</v>
      </c>
      <c r="D176" t="s">
        <v>182</v>
      </c>
      <c r="E176" t="s">
        <v>183</v>
      </c>
      <c r="F176" t="s">
        <v>185</v>
      </c>
      <c r="G176" s="55" t="s">
        <v>184</v>
      </c>
      <c r="H176" t="s">
        <v>185</v>
      </c>
      <c r="I176" t="s">
        <v>185</v>
      </c>
      <c r="J176" t="s">
        <v>185</v>
      </c>
      <c r="K176" t="s">
        <v>185</v>
      </c>
      <c r="L176" t="s">
        <v>185</v>
      </c>
      <c r="M176" t="s">
        <v>185</v>
      </c>
      <c r="N176" t="s">
        <v>1259</v>
      </c>
      <c r="O176">
        <v>555185</v>
      </c>
      <c r="P176" t="s">
        <v>1260</v>
      </c>
      <c r="Q176" t="s">
        <v>1261</v>
      </c>
      <c r="R176" t="s">
        <v>1262</v>
      </c>
      <c r="S176">
        <v>420771160854</v>
      </c>
      <c r="T176" t="s">
        <v>1263</v>
      </c>
      <c r="U176" t="s">
        <v>1264</v>
      </c>
      <c r="V176" t="s">
        <v>103</v>
      </c>
      <c r="W176" t="s">
        <v>101</v>
      </c>
      <c r="X176">
        <f>+VLOOKUP(O176,[1]DATA!$B$37:$AW$170,48,0)</f>
        <v>2179</v>
      </c>
    </row>
    <row r="177" spans="1:24" hidden="1">
      <c r="A177">
        <v>75006031</v>
      </c>
      <c r="B177" t="s">
        <v>1265</v>
      </c>
      <c r="C177" t="s">
        <v>181</v>
      </c>
      <c r="D177" t="s">
        <v>182</v>
      </c>
      <c r="E177" t="s">
        <v>183</v>
      </c>
      <c r="F177" t="s">
        <v>184</v>
      </c>
      <c r="G177" s="56" t="s">
        <v>185</v>
      </c>
      <c r="H177" t="s">
        <v>185</v>
      </c>
      <c r="I177" t="s">
        <v>185</v>
      </c>
      <c r="J177" t="s">
        <v>185</v>
      </c>
      <c r="K177" t="s">
        <v>185</v>
      </c>
      <c r="L177" t="s">
        <v>185</v>
      </c>
      <c r="M177" t="s">
        <v>185</v>
      </c>
      <c r="N177" t="s">
        <v>1266</v>
      </c>
      <c r="O177">
        <v>555185</v>
      </c>
      <c r="P177" t="s">
        <v>1260</v>
      </c>
      <c r="Q177" t="s">
        <v>1267</v>
      </c>
      <c r="R177" t="s">
        <v>1268</v>
      </c>
      <c r="S177">
        <v>420723466706</v>
      </c>
      <c r="T177" t="s">
        <v>1269</v>
      </c>
      <c r="U177" t="s">
        <v>1270</v>
      </c>
      <c r="V177" t="s">
        <v>103</v>
      </c>
      <c r="W177" t="s">
        <v>101</v>
      </c>
      <c r="X177">
        <f>+VLOOKUP(O177,[1]DATA!$B$37:$AW$170,48,0)</f>
        <v>2179</v>
      </c>
    </row>
    <row r="178" spans="1:24">
      <c r="A178">
        <v>70993246</v>
      </c>
      <c r="B178" t="s">
        <v>1271</v>
      </c>
      <c r="C178" t="s">
        <v>181</v>
      </c>
      <c r="D178" t="s">
        <v>182</v>
      </c>
      <c r="E178" t="s">
        <v>183</v>
      </c>
      <c r="F178" t="s">
        <v>185</v>
      </c>
      <c r="G178" s="55" t="s">
        <v>184</v>
      </c>
      <c r="H178" t="s">
        <v>185</v>
      </c>
      <c r="I178" t="s">
        <v>185</v>
      </c>
      <c r="J178" t="s">
        <v>185</v>
      </c>
      <c r="K178" t="s">
        <v>185</v>
      </c>
      <c r="L178" t="s">
        <v>185</v>
      </c>
      <c r="M178" t="s">
        <v>185</v>
      </c>
      <c r="N178" t="s">
        <v>1272</v>
      </c>
      <c r="O178">
        <v>554961</v>
      </c>
      <c r="P178" t="s">
        <v>1147</v>
      </c>
      <c r="Q178" t="s">
        <v>1273</v>
      </c>
      <c r="R178" t="s">
        <v>1274</v>
      </c>
      <c r="S178">
        <v>420605941809</v>
      </c>
      <c r="T178" t="s">
        <v>1275</v>
      </c>
      <c r="U178" t="s">
        <v>1276</v>
      </c>
      <c r="V178" t="s">
        <v>102</v>
      </c>
      <c r="W178" t="s">
        <v>101</v>
      </c>
      <c r="X178">
        <f>+VLOOKUP(O178,[1]DATA!$B$37:$AW$170,48,0)</f>
        <v>48788</v>
      </c>
    </row>
    <row r="179" spans="1:24">
      <c r="A179">
        <v>70933782</v>
      </c>
      <c r="B179" t="s">
        <v>1277</v>
      </c>
      <c r="C179" t="s">
        <v>181</v>
      </c>
      <c r="D179" t="s">
        <v>182</v>
      </c>
      <c r="E179" t="s">
        <v>183</v>
      </c>
      <c r="F179" t="s">
        <v>185</v>
      </c>
      <c r="G179" s="55" t="s">
        <v>184</v>
      </c>
      <c r="H179" t="s">
        <v>185</v>
      </c>
      <c r="I179" t="s">
        <v>185</v>
      </c>
      <c r="J179" t="s">
        <v>185</v>
      </c>
      <c r="K179" t="s">
        <v>185</v>
      </c>
      <c r="L179" t="s">
        <v>185</v>
      </c>
      <c r="M179" t="s">
        <v>185</v>
      </c>
      <c r="N179" t="s">
        <v>1278</v>
      </c>
      <c r="O179">
        <v>554961</v>
      </c>
      <c r="P179" t="s">
        <v>1147</v>
      </c>
      <c r="Q179" t="s">
        <v>1279</v>
      </c>
      <c r="R179" t="s">
        <v>1280</v>
      </c>
      <c r="S179">
        <v>420725735301</v>
      </c>
      <c r="T179" t="s">
        <v>1281</v>
      </c>
      <c r="U179" t="s">
        <v>1282</v>
      </c>
      <c r="V179" t="s">
        <v>102</v>
      </c>
      <c r="W179" t="s">
        <v>101</v>
      </c>
      <c r="X179">
        <f>+VLOOKUP(O179,[1]DATA!$B$37:$AW$170,48,0)</f>
        <v>48788</v>
      </c>
    </row>
    <row r="180" spans="1:24">
      <c r="A180">
        <v>872296</v>
      </c>
      <c r="B180" t="s">
        <v>1283</v>
      </c>
      <c r="C180" t="s">
        <v>181</v>
      </c>
      <c r="D180" t="s">
        <v>182</v>
      </c>
      <c r="E180" t="s">
        <v>183</v>
      </c>
      <c r="F180" t="s">
        <v>185</v>
      </c>
      <c r="G180" s="55" t="s">
        <v>184</v>
      </c>
      <c r="H180" t="s">
        <v>185</v>
      </c>
      <c r="I180" t="s">
        <v>185</v>
      </c>
      <c r="J180" t="s">
        <v>185</v>
      </c>
      <c r="K180" t="s">
        <v>185</v>
      </c>
      <c r="L180" t="s">
        <v>185</v>
      </c>
      <c r="M180" t="s">
        <v>185</v>
      </c>
      <c r="N180" t="s">
        <v>1284</v>
      </c>
      <c r="O180">
        <v>554961</v>
      </c>
      <c r="P180" t="s">
        <v>1147</v>
      </c>
      <c r="Q180" t="s">
        <v>1285</v>
      </c>
      <c r="R180" t="s">
        <v>1286</v>
      </c>
      <c r="S180">
        <v>420725043842</v>
      </c>
      <c r="T180" t="s">
        <v>1287</v>
      </c>
      <c r="U180" t="s">
        <v>1288</v>
      </c>
      <c r="V180" t="s">
        <v>102</v>
      </c>
      <c r="W180" t="s">
        <v>101</v>
      </c>
      <c r="X180">
        <f>+VLOOKUP(O180,[1]DATA!$B$37:$AW$170,48,0)</f>
        <v>48788</v>
      </c>
    </row>
    <row r="181" spans="1:24">
      <c r="A181">
        <v>70989290</v>
      </c>
      <c r="B181" t="s">
        <v>1289</v>
      </c>
      <c r="C181" t="s">
        <v>181</v>
      </c>
      <c r="D181" t="s">
        <v>182</v>
      </c>
      <c r="E181" t="s">
        <v>183</v>
      </c>
      <c r="F181" t="s">
        <v>184</v>
      </c>
      <c r="G181" s="55" t="s">
        <v>184</v>
      </c>
      <c r="H181" t="s">
        <v>185</v>
      </c>
      <c r="I181" t="s">
        <v>185</v>
      </c>
      <c r="J181" t="s">
        <v>185</v>
      </c>
      <c r="K181" t="s">
        <v>185</v>
      </c>
      <c r="L181" t="s">
        <v>185</v>
      </c>
      <c r="M181" t="s">
        <v>185</v>
      </c>
      <c r="N181" t="s">
        <v>1290</v>
      </c>
      <c r="O181">
        <v>537918</v>
      </c>
      <c r="P181" t="s">
        <v>1291</v>
      </c>
      <c r="Q181" t="s">
        <v>1292</v>
      </c>
      <c r="R181" t="s">
        <v>1293</v>
      </c>
      <c r="S181">
        <v>420731612340</v>
      </c>
      <c r="T181" t="s">
        <v>1294</v>
      </c>
      <c r="U181" t="s">
        <v>1295</v>
      </c>
      <c r="V181" t="s">
        <v>102</v>
      </c>
      <c r="W181" t="s">
        <v>101</v>
      </c>
      <c r="X181">
        <f>+VLOOKUP(O181,[1]DATA!$B$37:$AW$170,48,0)</f>
        <v>1992</v>
      </c>
    </row>
    <row r="182" spans="1:24">
      <c r="A182">
        <v>70895201</v>
      </c>
      <c r="B182" t="s">
        <v>1296</v>
      </c>
      <c r="C182" t="s">
        <v>181</v>
      </c>
      <c r="D182" t="s">
        <v>182</v>
      </c>
      <c r="E182" t="s">
        <v>183</v>
      </c>
      <c r="F182" t="s">
        <v>185</v>
      </c>
      <c r="G182" s="55" t="s">
        <v>184</v>
      </c>
      <c r="H182" t="s">
        <v>185</v>
      </c>
      <c r="I182" t="s">
        <v>185</v>
      </c>
      <c r="J182" t="s">
        <v>185</v>
      </c>
      <c r="K182" t="s">
        <v>185</v>
      </c>
      <c r="L182" t="s">
        <v>185</v>
      </c>
      <c r="M182" t="s">
        <v>185</v>
      </c>
      <c r="N182" t="s">
        <v>1297</v>
      </c>
      <c r="O182">
        <v>555258</v>
      </c>
      <c r="P182" t="s">
        <v>1298</v>
      </c>
      <c r="Q182" t="s">
        <v>1299</v>
      </c>
      <c r="R182" t="s">
        <v>1300</v>
      </c>
      <c r="S182">
        <v>420723962420</v>
      </c>
      <c r="T182" t="s">
        <v>1301</v>
      </c>
      <c r="U182" t="s">
        <v>1302</v>
      </c>
      <c r="V182" t="s">
        <v>102</v>
      </c>
      <c r="W182" t="s">
        <v>101</v>
      </c>
      <c r="X182">
        <f>+VLOOKUP(O182,[1]DATA!$B$37:$AW$170,48,0)</f>
        <v>952</v>
      </c>
    </row>
    <row r="183" spans="1:24" hidden="1">
      <c r="A183">
        <v>71172548</v>
      </c>
      <c r="B183" t="s">
        <v>1303</v>
      </c>
      <c r="C183" t="s">
        <v>181</v>
      </c>
      <c r="D183" t="s">
        <v>182</v>
      </c>
      <c r="E183" t="s">
        <v>183</v>
      </c>
      <c r="F183" t="s">
        <v>184</v>
      </c>
      <c r="G183" s="56" t="s">
        <v>185</v>
      </c>
      <c r="H183" t="s">
        <v>185</v>
      </c>
      <c r="I183" t="s">
        <v>185</v>
      </c>
      <c r="J183" t="s">
        <v>185</v>
      </c>
      <c r="K183" t="s">
        <v>185</v>
      </c>
      <c r="L183" t="s">
        <v>185</v>
      </c>
      <c r="M183" t="s">
        <v>185</v>
      </c>
      <c r="N183" t="s">
        <v>1304</v>
      </c>
      <c r="O183">
        <v>555304</v>
      </c>
      <c r="P183" t="s">
        <v>1305</v>
      </c>
      <c r="Q183" t="s">
        <v>1306</v>
      </c>
      <c r="R183" t="s">
        <v>1307</v>
      </c>
      <c r="S183">
        <v>420353312019</v>
      </c>
      <c r="T183" t="s">
        <v>1308</v>
      </c>
      <c r="U183" t="s">
        <v>1309</v>
      </c>
      <c r="V183" t="s">
        <v>102</v>
      </c>
      <c r="W183" t="s">
        <v>101</v>
      </c>
      <c r="X183">
        <f>+VLOOKUP(O183,[1]DATA!$B$37:$AW$170,48,0)</f>
        <v>389</v>
      </c>
    </row>
    <row r="184" spans="1:24">
      <c r="A184">
        <v>70981043</v>
      </c>
      <c r="B184" t="s">
        <v>1310</v>
      </c>
      <c r="C184" t="s">
        <v>181</v>
      </c>
      <c r="D184" t="s">
        <v>182</v>
      </c>
      <c r="E184" t="s">
        <v>183</v>
      </c>
      <c r="F184" t="s">
        <v>184</v>
      </c>
      <c r="G184" s="55" t="s">
        <v>184</v>
      </c>
      <c r="H184" t="s">
        <v>185</v>
      </c>
      <c r="I184" t="s">
        <v>185</v>
      </c>
      <c r="J184" t="s">
        <v>185</v>
      </c>
      <c r="K184" t="s">
        <v>185</v>
      </c>
      <c r="L184" t="s">
        <v>185</v>
      </c>
      <c r="M184" t="s">
        <v>185</v>
      </c>
      <c r="N184" t="s">
        <v>1311</v>
      </c>
      <c r="O184">
        <v>555215</v>
      </c>
      <c r="P184" t="s">
        <v>1312</v>
      </c>
      <c r="Q184" t="s">
        <v>1313</v>
      </c>
      <c r="R184" t="s">
        <v>1314</v>
      </c>
      <c r="S184">
        <v>420608163301</v>
      </c>
      <c r="T184" t="s">
        <v>1315</v>
      </c>
      <c r="U184" t="s">
        <v>1316</v>
      </c>
      <c r="V184" t="s">
        <v>103</v>
      </c>
      <c r="W184" t="s">
        <v>101</v>
      </c>
      <c r="X184">
        <f>+VLOOKUP(O184,[1]DATA!$B$37:$AW$170,48,0)</f>
        <v>2248</v>
      </c>
    </row>
    <row r="185" spans="1:24" hidden="1">
      <c r="A185">
        <v>47700009</v>
      </c>
      <c r="B185" t="s">
        <v>1317</v>
      </c>
      <c r="C185" t="s">
        <v>181</v>
      </c>
      <c r="D185" t="s">
        <v>182</v>
      </c>
      <c r="E185" t="s">
        <v>183</v>
      </c>
      <c r="F185" t="s">
        <v>185</v>
      </c>
      <c r="G185" s="56" t="s">
        <v>185</v>
      </c>
      <c r="H185" t="s">
        <v>185</v>
      </c>
      <c r="I185" t="s">
        <v>185</v>
      </c>
      <c r="J185" t="s">
        <v>185</v>
      </c>
      <c r="K185" t="s">
        <v>185</v>
      </c>
      <c r="L185" t="s">
        <v>184</v>
      </c>
      <c r="M185" t="s">
        <v>185</v>
      </c>
      <c r="N185" t="s">
        <v>1318</v>
      </c>
      <c r="O185">
        <v>555428</v>
      </c>
      <c r="P185" t="s">
        <v>71</v>
      </c>
      <c r="Q185" t="s">
        <v>1319</v>
      </c>
      <c r="R185" t="s">
        <v>1320</v>
      </c>
      <c r="S185">
        <v>420736505681</v>
      </c>
      <c r="T185" t="s">
        <v>1321</v>
      </c>
      <c r="U185" t="s">
        <v>1322</v>
      </c>
      <c r="V185" t="s">
        <v>103</v>
      </c>
      <c r="W185" t="s">
        <v>101</v>
      </c>
      <c r="X185">
        <f>+VLOOKUP(O185,[1]DATA!$B$37:$AW$170,48,0)</f>
        <v>15615</v>
      </c>
    </row>
    <row r="186" spans="1:24">
      <c r="A186">
        <v>49753347</v>
      </c>
      <c r="B186" t="s">
        <v>1323</v>
      </c>
      <c r="C186" t="s">
        <v>181</v>
      </c>
      <c r="D186" t="s">
        <v>182</v>
      </c>
      <c r="E186" t="s">
        <v>183</v>
      </c>
      <c r="F186" t="s">
        <v>185</v>
      </c>
      <c r="G186" s="55" t="s">
        <v>184</v>
      </c>
      <c r="H186" t="s">
        <v>185</v>
      </c>
      <c r="I186" t="s">
        <v>185</v>
      </c>
      <c r="J186" t="s">
        <v>185</v>
      </c>
      <c r="K186" t="s">
        <v>185</v>
      </c>
      <c r="L186" t="s">
        <v>185</v>
      </c>
      <c r="M186" t="s">
        <v>185</v>
      </c>
      <c r="N186" t="s">
        <v>1324</v>
      </c>
      <c r="O186">
        <v>555428</v>
      </c>
      <c r="P186" t="s">
        <v>71</v>
      </c>
      <c r="Q186" t="s">
        <v>1325</v>
      </c>
      <c r="R186" t="s">
        <v>1326</v>
      </c>
      <c r="S186">
        <v>420353800411</v>
      </c>
      <c r="T186" t="s">
        <v>1327</v>
      </c>
      <c r="U186" t="s">
        <v>1328</v>
      </c>
      <c r="V186" t="s">
        <v>103</v>
      </c>
      <c r="W186" t="s">
        <v>101</v>
      </c>
      <c r="X186">
        <f>+VLOOKUP(O186,[1]DATA!$B$37:$AW$170,48,0)</f>
        <v>15615</v>
      </c>
    </row>
    <row r="187" spans="1:24" hidden="1">
      <c r="A187">
        <v>49753606</v>
      </c>
      <c r="B187" t="s">
        <v>1329</v>
      </c>
      <c r="C187" t="s">
        <v>181</v>
      </c>
      <c r="D187" t="s">
        <v>182</v>
      </c>
      <c r="E187" t="s">
        <v>183</v>
      </c>
      <c r="F187" t="s">
        <v>185</v>
      </c>
      <c r="G187" s="56" t="s">
        <v>185</v>
      </c>
      <c r="H187" t="s">
        <v>185</v>
      </c>
      <c r="I187" t="s">
        <v>185</v>
      </c>
      <c r="J187" t="s">
        <v>185</v>
      </c>
      <c r="K187" t="s">
        <v>184</v>
      </c>
      <c r="L187" t="s">
        <v>185</v>
      </c>
      <c r="M187" t="s">
        <v>185</v>
      </c>
      <c r="N187" t="s">
        <v>1330</v>
      </c>
      <c r="O187">
        <v>555428</v>
      </c>
      <c r="P187" t="s">
        <v>71</v>
      </c>
      <c r="Q187" t="s">
        <v>1331</v>
      </c>
      <c r="R187" t="s">
        <v>1332</v>
      </c>
      <c r="S187">
        <v>420358999130</v>
      </c>
      <c r="T187" t="s">
        <v>1333</v>
      </c>
      <c r="U187" t="s">
        <v>1334</v>
      </c>
      <c r="V187" t="s">
        <v>103</v>
      </c>
      <c r="W187" t="s">
        <v>101</v>
      </c>
      <c r="X187">
        <f>+VLOOKUP(O187,[1]DATA!$B$37:$AW$170,48,0)</f>
        <v>15615</v>
      </c>
    </row>
    <row r="188" spans="1:24" hidden="1">
      <c r="A188">
        <v>49753461</v>
      </c>
      <c r="B188" t="s">
        <v>1335</v>
      </c>
      <c r="C188" t="s">
        <v>181</v>
      </c>
      <c r="D188" t="s">
        <v>182</v>
      </c>
      <c r="E188" t="s">
        <v>183</v>
      </c>
      <c r="F188" t="s">
        <v>184</v>
      </c>
      <c r="G188" s="56" t="s">
        <v>185</v>
      </c>
      <c r="H188" t="s">
        <v>185</v>
      </c>
      <c r="I188" t="s">
        <v>185</v>
      </c>
      <c r="J188" t="s">
        <v>185</v>
      </c>
      <c r="K188" t="s">
        <v>185</v>
      </c>
      <c r="L188" t="s">
        <v>185</v>
      </c>
      <c r="M188" t="s">
        <v>185</v>
      </c>
      <c r="N188" t="s">
        <v>1336</v>
      </c>
      <c r="O188">
        <v>555428</v>
      </c>
      <c r="P188" t="s">
        <v>71</v>
      </c>
      <c r="Q188" t="s">
        <v>1337</v>
      </c>
      <c r="R188" t="s">
        <v>1338</v>
      </c>
      <c r="S188">
        <v>420353612580</v>
      </c>
      <c r="T188" t="s">
        <v>1339</v>
      </c>
      <c r="U188" t="s">
        <v>1340</v>
      </c>
      <c r="V188" t="s">
        <v>103</v>
      </c>
      <c r="W188" t="s">
        <v>101</v>
      </c>
      <c r="X188">
        <f>+VLOOKUP(O188,[1]DATA!$B$37:$AW$170,48,0)</f>
        <v>15615</v>
      </c>
    </row>
    <row r="189" spans="1:24" hidden="1">
      <c r="A189">
        <v>49753495</v>
      </c>
      <c r="B189" t="s">
        <v>1341</v>
      </c>
      <c r="C189" t="s">
        <v>181</v>
      </c>
      <c r="D189" t="s">
        <v>182</v>
      </c>
      <c r="E189" t="s">
        <v>183</v>
      </c>
      <c r="F189" t="s">
        <v>184</v>
      </c>
      <c r="G189" s="56" t="s">
        <v>185</v>
      </c>
      <c r="H189" t="s">
        <v>185</v>
      </c>
      <c r="I189" t="s">
        <v>185</v>
      </c>
      <c r="J189" t="s">
        <v>185</v>
      </c>
      <c r="K189" t="s">
        <v>185</v>
      </c>
      <c r="L189" t="s">
        <v>185</v>
      </c>
      <c r="M189" t="s">
        <v>185</v>
      </c>
      <c r="N189" t="s">
        <v>1342</v>
      </c>
      <c r="O189">
        <v>555428</v>
      </c>
      <c r="P189" t="s">
        <v>71</v>
      </c>
      <c r="Q189" t="s">
        <v>1343</v>
      </c>
      <c r="R189" t="s">
        <v>1344</v>
      </c>
      <c r="S189">
        <v>420353842365</v>
      </c>
      <c r="T189" t="s">
        <v>1345</v>
      </c>
      <c r="U189" t="s">
        <v>1346</v>
      </c>
      <c r="V189" t="s">
        <v>103</v>
      </c>
      <c r="W189" t="s">
        <v>101</v>
      </c>
      <c r="X189">
        <f>+VLOOKUP(O189,[1]DATA!$B$37:$AW$170,48,0)</f>
        <v>15615</v>
      </c>
    </row>
    <row r="190" spans="1:24" hidden="1">
      <c r="A190">
        <v>49753533</v>
      </c>
      <c r="B190" t="s">
        <v>1347</v>
      </c>
      <c r="C190" t="s">
        <v>181</v>
      </c>
      <c r="D190" t="s">
        <v>182</v>
      </c>
      <c r="E190" t="s">
        <v>183</v>
      </c>
      <c r="F190" t="s">
        <v>184</v>
      </c>
      <c r="G190" s="56" t="s">
        <v>185</v>
      </c>
      <c r="H190" t="s">
        <v>185</v>
      </c>
      <c r="I190" t="s">
        <v>185</v>
      </c>
      <c r="J190" t="s">
        <v>185</v>
      </c>
      <c r="K190" t="s">
        <v>185</v>
      </c>
      <c r="L190" t="s">
        <v>185</v>
      </c>
      <c r="M190" t="s">
        <v>185</v>
      </c>
      <c r="N190" t="s">
        <v>1348</v>
      </c>
      <c r="O190">
        <v>555428</v>
      </c>
      <c r="P190" t="s">
        <v>71</v>
      </c>
      <c r="Q190" t="s">
        <v>1349</v>
      </c>
      <c r="R190" t="s">
        <v>1350</v>
      </c>
      <c r="S190">
        <v>420775052301</v>
      </c>
      <c r="T190" t="s">
        <v>1351</v>
      </c>
      <c r="U190" t="s">
        <v>1352</v>
      </c>
      <c r="V190" t="s">
        <v>103</v>
      </c>
      <c r="W190" t="s">
        <v>101</v>
      </c>
      <c r="X190">
        <f>+VLOOKUP(O190,[1]DATA!$B$37:$AW$170,48,0)</f>
        <v>15615</v>
      </c>
    </row>
    <row r="191" spans="1:24">
      <c r="A191">
        <v>49753371</v>
      </c>
      <c r="B191" t="s">
        <v>1353</v>
      </c>
      <c r="C191" t="s">
        <v>181</v>
      </c>
      <c r="D191" t="s">
        <v>182</v>
      </c>
      <c r="E191" t="s">
        <v>183</v>
      </c>
      <c r="F191" t="s">
        <v>185</v>
      </c>
      <c r="G191" s="55" t="s">
        <v>184</v>
      </c>
      <c r="H191" t="s">
        <v>185</v>
      </c>
      <c r="I191" t="s">
        <v>185</v>
      </c>
      <c r="J191" t="s">
        <v>185</v>
      </c>
      <c r="K191" t="s">
        <v>185</v>
      </c>
      <c r="L191" t="s">
        <v>185</v>
      </c>
      <c r="M191" t="s">
        <v>185</v>
      </c>
      <c r="N191" t="s">
        <v>1354</v>
      </c>
      <c r="O191">
        <v>555428</v>
      </c>
      <c r="P191" t="s">
        <v>71</v>
      </c>
      <c r="Q191" t="s">
        <v>1355</v>
      </c>
      <c r="R191" t="s">
        <v>1356</v>
      </c>
      <c r="S191">
        <v>420351124821</v>
      </c>
      <c r="T191" t="s">
        <v>1357</v>
      </c>
      <c r="U191" t="s">
        <v>1358</v>
      </c>
      <c r="V191" t="s">
        <v>103</v>
      </c>
      <c r="W191" t="s">
        <v>101</v>
      </c>
      <c r="X191">
        <f>+VLOOKUP(O191,[1]DATA!$B$37:$AW$170,48,0)</f>
        <v>15615</v>
      </c>
    </row>
    <row r="192" spans="1:24" hidden="1">
      <c r="A192">
        <v>49753509</v>
      </c>
      <c r="B192" t="s">
        <v>1359</v>
      </c>
      <c r="C192" t="s">
        <v>181</v>
      </c>
      <c r="D192" t="s">
        <v>182</v>
      </c>
      <c r="E192" t="s">
        <v>183</v>
      </c>
      <c r="F192" t="s">
        <v>184</v>
      </c>
      <c r="G192" s="56" t="s">
        <v>185</v>
      </c>
      <c r="H192" t="s">
        <v>185</v>
      </c>
      <c r="I192" t="s">
        <v>185</v>
      </c>
      <c r="J192" t="s">
        <v>185</v>
      </c>
      <c r="K192" t="s">
        <v>185</v>
      </c>
      <c r="L192" t="s">
        <v>185</v>
      </c>
      <c r="M192" t="s">
        <v>185</v>
      </c>
      <c r="N192" t="s">
        <v>1360</v>
      </c>
      <c r="O192">
        <v>555428</v>
      </c>
      <c r="P192" t="s">
        <v>71</v>
      </c>
      <c r="Q192" t="s">
        <v>1361</v>
      </c>
      <c r="R192" t="s">
        <v>1362</v>
      </c>
      <c r="S192">
        <v>420739521736</v>
      </c>
      <c r="T192" t="s">
        <v>1363</v>
      </c>
      <c r="U192" t="s">
        <v>1364</v>
      </c>
      <c r="V192" t="s">
        <v>103</v>
      </c>
      <c r="W192" t="s">
        <v>101</v>
      </c>
      <c r="X192">
        <f>+VLOOKUP(O192,[1]DATA!$B$37:$AW$170,48,0)</f>
        <v>15615</v>
      </c>
    </row>
    <row r="193" spans="1:24">
      <c r="A193">
        <v>49753363</v>
      </c>
      <c r="B193" t="s">
        <v>1365</v>
      </c>
      <c r="C193" t="s">
        <v>181</v>
      </c>
      <c r="D193" t="s">
        <v>182</v>
      </c>
      <c r="E193" t="s">
        <v>183</v>
      </c>
      <c r="F193" t="s">
        <v>184</v>
      </c>
      <c r="G193" s="55" t="s">
        <v>184</v>
      </c>
      <c r="H193" t="s">
        <v>185</v>
      </c>
      <c r="I193" t="s">
        <v>185</v>
      </c>
      <c r="J193" t="s">
        <v>185</v>
      </c>
      <c r="K193" t="s">
        <v>185</v>
      </c>
      <c r="L193" t="s">
        <v>185</v>
      </c>
      <c r="M193" t="s">
        <v>185</v>
      </c>
      <c r="N193" t="s">
        <v>1366</v>
      </c>
      <c r="O193">
        <v>555428</v>
      </c>
      <c r="P193" t="s">
        <v>71</v>
      </c>
      <c r="Q193" t="s">
        <v>1367</v>
      </c>
      <c r="R193" t="s">
        <v>1368</v>
      </c>
      <c r="S193">
        <v>420777661337</v>
      </c>
      <c r="T193" t="s">
        <v>1369</v>
      </c>
      <c r="U193" t="s">
        <v>1370</v>
      </c>
      <c r="V193" t="s">
        <v>103</v>
      </c>
      <c r="W193" t="s">
        <v>101</v>
      </c>
      <c r="X193">
        <f>+VLOOKUP(O193,[1]DATA!$B$37:$AW$170,48,0)</f>
        <v>15615</v>
      </c>
    </row>
    <row r="194" spans="1:24">
      <c r="A194">
        <v>60610751</v>
      </c>
      <c r="B194" t="s">
        <v>1371</v>
      </c>
      <c r="C194" t="s">
        <v>181</v>
      </c>
      <c r="D194" t="s">
        <v>182</v>
      </c>
      <c r="E194" t="s">
        <v>183</v>
      </c>
      <c r="F194" t="s">
        <v>184</v>
      </c>
      <c r="G194" s="55" t="s">
        <v>184</v>
      </c>
      <c r="H194" t="s">
        <v>185</v>
      </c>
      <c r="I194" t="s">
        <v>185</v>
      </c>
      <c r="J194" t="s">
        <v>185</v>
      </c>
      <c r="K194" t="s">
        <v>185</v>
      </c>
      <c r="L194" t="s">
        <v>185</v>
      </c>
      <c r="M194" t="s">
        <v>185</v>
      </c>
      <c r="N194" t="s">
        <v>1372</v>
      </c>
      <c r="O194">
        <v>555657</v>
      </c>
      <c r="P194" t="s">
        <v>1373</v>
      </c>
      <c r="Q194" t="s">
        <v>1374</v>
      </c>
      <c r="R194" t="s">
        <v>1375</v>
      </c>
      <c r="S194">
        <v>420353312016</v>
      </c>
      <c r="T194" t="s">
        <v>1376</v>
      </c>
      <c r="U194" t="s">
        <v>1377</v>
      </c>
      <c r="V194" t="s">
        <v>102</v>
      </c>
      <c r="W194" t="s">
        <v>101</v>
      </c>
      <c r="X194">
        <f>+VLOOKUP(O194,[1]DATA!$B$37:$AW$170,48,0)</f>
        <v>3458</v>
      </c>
    </row>
    <row r="195" spans="1:24" hidden="1">
      <c r="A195">
        <v>75005646</v>
      </c>
      <c r="B195" t="s">
        <v>1378</v>
      </c>
      <c r="C195" t="s">
        <v>181</v>
      </c>
      <c r="D195" t="s">
        <v>182</v>
      </c>
      <c r="E195" t="s">
        <v>183</v>
      </c>
      <c r="F195" t="s">
        <v>184</v>
      </c>
      <c r="G195" s="56" t="s">
        <v>185</v>
      </c>
      <c r="H195" t="s">
        <v>185</v>
      </c>
      <c r="I195" t="s">
        <v>185</v>
      </c>
      <c r="J195" t="s">
        <v>185</v>
      </c>
      <c r="K195" t="s">
        <v>185</v>
      </c>
      <c r="L195" t="s">
        <v>185</v>
      </c>
      <c r="M195" t="s">
        <v>185</v>
      </c>
      <c r="N195" t="s">
        <v>1379</v>
      </c>
      <c r="O195">
        <v>555347</v>
      </c>
      <c r="P195" t="s">
        <v>1380</v>
      </c>
      <c r="Q195" t="s">
        <v>1381</v>
      </c>
      <c r="R195" t="s">
        <v>1382</v>
      </c>
      <c r="S195">
        <v>420353941129</v>
      </c>
      <c r="T195" t="s">
        <v>1383</v>
      </c>
      <c r="U195" t="s">
        <v>1384</v>
      </c>
      <c r="V195" t="s">
        <v>102</v>
      </c>
      <c r="W195" t="s">
        <v>101</v>
      </c>
      <c r="X195">
        <f>+VLOOKUP(O195,[1]DATA!$B$37:$AW$170,48,0)</f>
        <v>820</v>
      </c>
    </row>
    <row r="196" spans="1:24" hidden="1">
      <c r="A196">
        <v>49755579</v>
      </c>
      <c r="B196" t="s">
        <v>1385</v>
      </c>
      <c r="C196" t="s">
        <v>181</v>
      </c>
      <c r="D196" t="s">
        <v>182</v>
      </c>
      <c r="E196" t="s">
        <v>183</v>
      </c>
      <c r="F196" t="s">
        <v>184</v>
      </c>
      <c r="G196" s="56" t="s">
        <v>185</v>
      </c>
      <c r="H196" t="s">
        <v>185</v>
      </c>
      <c r="I196" t="s">
        <v>185</v>
      </c>
      <c r="J196" t="s">
        <v>185</v>
      </c>
      <c r="K196" t="s">
        <v>185</v>
      </c>
      <c r="L196" t="s">
        <v>185</v>
      </c>
      <c r="M196" t="s">
        <v>185</v>
      </c>
      <c r="N196" t="s">
        <v>1386</v>
      </c>
      <c r="O196">
        <v>555657</v>
      </c>
      <c r="P196" t="s">
        <v>1373</v>
      </c>
      <c r="Q196" t="s">
        <v>1387</v>
      </c>
      <c r="R196" t="s">
        <v>1388</v>
      </c>
      <c r="S196">
        <v>420354224565</v>
      </c>
      <c r="T196" t="s">
        <v>1389</v>
      </c>
      <c r="U196" t="s">
        <v>1390</v>
      </c>
      <c r="V196" t="s">
        <v>102</v>
      </c>
      <c r="W196" t="s">
        <v>101</v>
      </c>
      <c r="X196">
        <f>+VLOOKUP(O196,[1]DATA!$B$37:$AW$170,48,0)</f>
        <v>3458</v>
      </c>
    </row>
    <row r="197" spans="1:24">
      <c r="A197">
        <v>60611448</v>
      </c>
      <c r="B197" t="s">
        <v>1391</v>
      </c>
      <c r="C197" t="s">
        <v>181</v>
      </c>
      <c r="D197" t="s">
        <v>182</v>
      </c>
      <c r="E197" t="s">
        <v>183</v>
      </c>
      <c r="F197" t="s">
        <v>184</v>
      </c>
      <c r="G197" s="55" t="s">
        <v>184</v>
      </c>
      <c r="H197" t="s">
        <v>185</v>
      </c>
      <c r="I197" t="s">
        <v>185</v>
      </c>
      <c r="J197" t="s">
        <v>185</v>
      </c>
      <c r="K197" t="s">
        <v>185</v>
      </c>
      <c r="L197" t="s">
        <v>185</v>
      </c>
      <c r="M197" t="s">
        <v>185</v>
      </c>
      <c r="N197" t="s">
        <v>1392</v>
      </c>
      <c r="O197">
        <v>555657</v>
      </c>
      <c r="P197" t="s">
        <v>1373</v>
      </c>
      <c r="Q197" t="s">
        <v>1393</v>
      </c>
      <c r="R197" t="s">
        <v>1394</v>
      </c>
      <c r="S197">
        <v>420739245248</v>
      </c>
      <c r="T197" t="s">
        <v>1395</v>
      </c>
      <c r="U197" t="s">
        <v>1396</v>
      </c>
      <c r="V197" t="s">
        <v>102</v>
      </c>
      <c r="W197" t="s">
        <v>101</v>
      </c>
      <c r="X197">
        <f>+VLOOKUP(O197,[1]DATA!$B$37:$AW$170,48,0)</f>
        <v>3458</v>
      </c>
    </row>
    <row r="198" spans="1:24" hidden="1">
      <c r="A198">
        <v>66361974</v>
      </c>
      <c r="B198" t="s">
        <v>168</v>
      </c>
      <c r="C198" t="s">
        <v>181</v>
      </c>
      <c r="D198" t="s">
        <v>182</v>
      </c>
      <c r="E198" t="s">
        <v>183</v>
      </c>
      <c r="F198" t="s">
        <v>185</v>
      </c>
      <c r="G198" s="56" t="s">
        <v>185</v>
      </c>
      <c r="H198" t="s">
        <v>185</v>
      </c>
      <c r="I198" t="s">
        <v>185</v>
      </c>
      <c r="J198" t="s">
        <v>185</v>
      </c>
      <c r="K198" t="s">
        <v>184</v>
      </c>
      <c r="L198" t="s">
        <v>185</v>
      </c>
      <c r="M198" t="s">
        <v>185</v>
      </c>
      <c r="N198" t="s">
        <v>1392</v>
      </c>
      <c r="O198">
        <v>555657</v>
      </c>
      <c r="P198" t="s">
        <v>1373</v>
      </c>
      <c r="Q198" t="s">
        <v>1397</v>
      </c>
      <c r="R198" t="s">
        <v>1398</v>
      </c>
      <c r="S198">
        <v>420739245246</v>
      </c>
      <c r="T198" t="s">
        <v>1399</v>
      </c>
      <c r="U198" t="s">
        <v>1400</v>
      </c>
      <c r="V198" t="s">
        <v>102</v>
      </c>
      <c r="W198" t="s">
        <v>101</v>
      </c>
      <c r="X198">
        <f>+VLOOKUP(O198,[1]DATA!$B$37:$AW$170,48,0)</f>
        <v>3458</v>
      </c>
    </row>
    <row r="199" spans="1:24">
      <c r="A199">
        <v>70995826</v>
      </c>
      <c r="B199" t="s">
        <v>1401</v>
      </c>
      <c r="C199" t="s">
        <v>181</v>
      </c>
      <c r="D199" t="s">
        <v>182</v>
      </c>
      <c r="E199" t="s">
        <v>183</v>
      </c>
      <c r="F199" t="s">
        <v>185</v>
      </c>
      <c r="G199" s="55" t="s">
        <v>184</v>
      </c>
      <c r="H199" t="s">
        <v>185</v>
      </c>
      <c r="I199" t="s">
        <v>185</v>
      </c>
      <c r="J199" t="s">
        <v>185</v>
      </c>
      <c r="K199" t="s">
        <v>185</v>
      </c>
      <c r="L199" t="s">
        <v>185</v>
      </c>
      <c r="M199" t="s">
        <v>185</v>
      </c>
      <c r="N199" t="s">
        <v>1392</v>
      </c>
      <c r="O199">
        <v>555657</v>
      </c>
      <c r="P199" t="s">
        <v>1373</v>
      </c>
      <c r="Q199" t="s">
        <v>1402</v>
      </c>
      <c r="R199" t="s">
        <v>1403</v>
      </c>
      <c r="S199">
        <v>420354224555</v>
      </c>
      <c r="T199" t="s">
        <v>1404</v>
      </c>
      <c r="U199" t="s">
        <v>1405</v>
      </c>
      <c r="V199" t="s">
        <v>102</v>
      </c>
      <c r="W199" t="s">
        <v>101</v>
      </c>
      <c r="X199">
        <f>+VLOOKUP(O199,[1]DATA!$B$37:$AW$170,48,0)</f>
        <v>3458</v>
      </c>
    </row>
    <row r="200" spans="1:24">
      <c r="A200">
        <v>75006529</v>
      </c>
      <c r="B200" t="s">
        <v>1406</v>
      </c>
      <c r="C200" t="s">
        <v>181</v>
      </c>
      <c r="D200" t="s">
        <v>182</v>
      </c>
      <c r="E200" t="s">
        <v>183</v>
      </c>
      <c r="F200" t="s">
        <v>184</v>
      </c>
      <c r="G200" s="55" t="s">
        <v>184</v>
      </c>
      <c r="H200" t="s">
        <v>185</v>
      </c>
      <c r="I200" t="s">
        <v>185</v>
      </c>
      <c r="J200" t="s">
        <v>185</v>
      </c>
      <c r="K200" t="s">
        <v>185</v>
      </c>
      <c r="L200" t="s">
        <v>185</v>
      </c>
      <c r="M200" t="s">
        <v>185</v>
      </c>
      <c r="N200" t="s">
        <v>1407</v>
      </c>
      <c r="O200">
        <v>555347</v>
      </c>
      <c r="P200" t="s">
        <v>1380</v>
      </c>
      <c r="Q200" t="s">
        <v>1408</v>
      </c>
      <c r="R200" t="s">
        <v>1409</v>
      </c>
      <c r="S200">
        <v>420727887181</v>
      </c>
      <c r="T200" t="s">
        <v>1410</v>
      </c>
      <c r="U200" t="s">
        <v>1411</v>
      </c>
      <c r="V200" t="s">
        <v>102</v>
      </c>
      <c r="W200" t="s">
        <v>101</v>
      </c>
      <c r="X200">
        <f>+VLOOKUP(O200,[1]DATA!$B$37:$AW$170,48,0)</f>
        <v>820</v>
      </c>
    </row>
    <row r="201" spans="1:24" hidden="1">
      <c r="A201">
        <v>71005307</v>
      </c>
      <c r="B201" t="s">
        <v>1412</v>
      </c>
      <c r="C201" t="s">
        <v>181</v>
      </c>
      <c r="D201" t="s">
        <v>182</v>
      </c>
      <c r="E201" t="s">
        <v>183</v>
      </c>
      <c r="F201" t="s">
        <v>184</v>
      </c>
      <c r="G201" s="56" t="s">
        <v>185</v>
      </c>
      <c r="H201" t="s">
        <v>185</v>
      </c>
      <c r="I201" t="s">
        <v>185</v>
      </c>
      <c r="J201" t="s">
        <v>185</v>
      </c>
      <c r="K201" t="s">
        <v>185</v>
      </c>
      <c r="L201" t="s">
        <v>185</v>
      </c>
      <c r="M201" t="s">
        <v>185</v>
      </c>
      <c r="N201" t="s">
        <v>1413</v>
      </c>
      <c r="O201">
        <v>555592</v>
      </c>
      <c r="P201" t="s">
        <v>1414</v>
      </c>
      <c r="Q201" t="s">
        <v>1415</v>
      </c>
      <c r="R201" t="s">
        <v>1416</v>
      </c>
      <c r="S201">
        <v>420353901176</v>
      </c>
      <c r="T201" t="s">
        <v>1417</v>
      </c>
      <c r="U201" t="s">
        <v>1418</v>
      </c>
      <c r="V201" t="s">
        <v>102</v>
      </c>
      <c r="W201" t="s">
        <v>101</v>
      </c>
      <c r="X201">
        <f>+VLOOKUP(O201,[1]DATA!$B$37:$AW$170,48,0)</f>
        <v>633</v>
      </c>
    </row>
    <row r="202" spans="1:24" hidden="1">
      <c r="A202">
        <v>75005549</v>
      </c>
      <c r="B202" t="s">
        <v>1419</v>
      </c>
      <c r="C202" t="s">
        <v>181</v>
      </c>
      <c r="D202" t="s">
        <v>182</v>
      </c>
      <c r="E202" t="s">
        <v>183</v>
      </c>
      <c r="F202" t="s">
        <v>184</v>
      </c>
      <c r="G202" s="56" t="s">
        <v>185</v>
      </c>
      <c r="H202" t="s">
        <v>185</v>
      </c>
      <c r="I202" t="s">
        <v>185</v>
      </c>
      <c r="J202" t="s">
        <v>185</v>
      </c>
      <c r="K202" t="s">
        <v>185</v>
      </c>
      <c r="L202" t="s">
        <v>185</v>
      </c>
      <c r="M202" t="s">
        <v>185</v>
      </c>
      <c r="N202" t="s">
        <v>1420</v>
      </c>
      <c r="O202">
        <v>555428</v>
      </c>
      <c r="P202" t="s">
        <v>71</v>
      </c>
      <c r="Q202" t="s">
        <v>1421</v>
      </c>
      <c r="R202" t="s">
        <v>1422</v>
      </c>
      <c r="S202">
        <v>420353942165</v>
      </c>
      <c r="T202" t="s">
        <v>1423</v>
      </c>
      <c r="U202" t="s">
        <v>1424</v>
      </c>
      <c r="V202" t="s">
        <v>103</v>
      </c>
      <c r="W202" t="s">
        <v>101</v>
      </c>
      <c r="X202">
        <f>+VLOOKUP(O202,[1]DATA!$B$37:$AW$170,48,0)</f>
        <v>15615</v>
      </c>
    </row>
    <row r="203" spans="1:24" hidden="1">
      <c r="A203">
        <v>71181709</v>
      </c>
      <c r="B203" t="s">
        <v>1425</v>
      </c>
      <c r="C203" t="s">
        <v>181</v>
      </c>
      <c r="D203" t="s">
        <v>182</v>
      </c>
      <c r="E203" t="s">
        <v>183</v>
      </c>
      <c r="F203" t="s">
        <v>184</v>
      </c>
      <c r="G203" s="56" t="s">
        <v>185</v>
      </c>
      <c r="H203" t="s">
        <v>185</v>
      </c>
      <c r="I203" t="s">
        <v>185</v>
      </c>
      <c r="J203" t="s">
        <v>185</v>
      </c>
      <c r="K203" t="s">
        <v>185</v>
      </c>
      <c r="L203" t="s">
        <v>185</v>
      </c>
      <c r="M203" t="s">
        <v>185</v>
      </c>
      <c r="N203" t="s">
        <v>1426</v>
      </c>
      <c r="O203">
        <v>555738</v>
      </c>
      <c r="P203" t="s">
        <v>1427</v>
      </c>
      <c r="Q203" t="s">
        <v>1428</v>
      </c>
      <c r="R203" t="s">
        <v>1429</v>
      </c>
      <c r="S203">
        <v>420728455143</v>
      </c>
      <c r="T203" t="s">
        <v>1430</v>
      </c>
      <c r="U203" t="s">
        <v>1431</v>
      </c>
      <c r="V203" t="s">
        <v>103</v>
      </c>
      <c r="W203" t="s">
        <v>101</v>
      </c>
      <c r="X203">
        <f>+VLOOKUP(O203,[1]DATA!$B$37:$AW$170,48,0)</f>
        <v>640</v>
      </c>
    </row>
    <row r="204" spans="1:24">
      <c r="A204">
        <v>70991545</v>
      </c>
      <c r="B204" t="s">
        <v>1432</v>
      </c>
      <c r="C204" t="s">
        <v>181</v>
      </c>
      <c r="D204" t="s">
        <v>182</v>
      </c>
      <c r="E204" t="s">
        <v>183</v>
      </c>
      <c r="F204" t="s">
        <v>185</v>
      </c>
      <c r="G204" s="55" t="s">
        <v>184</v>
      </c>
      <c r="H204" t="s">
        <v>185</v>
      </c>
      <c r="I204" t="s">
        <v>185</v>
      </c>
      <c r="J204" t="s">
        <v>185</v>
      </c>
      <c r="K204" t="s">
        <v>185</v>
      </c>
      <c r="L204" t="s">
        <v>185</v>
      </c>
      <c r="M204" t="s">
        <v>185</v>
      </c>
      <c r="N204" t="s">
        <v>1433</v>
      </c>
      <c r="O204">
        <v>555029</v>
      </c>
      <c r="P204" t="s">
        <v>1434</v>
      </c>
      <c r="Q204" t="s">
        <v>1435</v>
      </c>
      <c r="R204" t="s">
        <v>1436</v>
      </c>
      <c r="S204">
        <v>420731495037</v>
      </c>
      <c r="T204" t="s">
        <v>1437</v>
      </c>
      <c r="U204" t="s">
        <v>1438</v>
      </c>
      <c r="V204" t="s">
        <v>102</v>
      </c>
      <c r="W204" t="s">
        <v>101</v>
      </c>
      <c r="X204">
        <f>+VLOOKUP(O204,[1]DATA!$B$37:$AW$170,48,0)</f>
        <v>1876</v>
      </c>
    </row>
    <row r="205" spans="1:24" hidden="1">
      <c r="A205">
        <v>70991511</v>
      </c>
      <c r="B205" t="s">
        <v>1439</v>
      </c>
      <c r="C205" t="s">
        <v>181</v>
      </c>
      <c r="D205" t="s">
        <v>182</v>
      </c>
      <c r="E205" t="s">
        <v>183</v>
      </c>
      <c r="F205" t="s">
        <v>184</v>
      </c>
      <c r="G205" s="56" t="s">
        <v>185</v>
      </c>
      <c r="H205" t="s">
        <v>185</v>
      </c>
      <c r="I205" t="s">
        <v>185</v>
      </c>
      <c r="J205" t="s">
        <v>185</v>
      </c>
      <c r="K205" t="s">
        <v>185</v>
      </c>
      <c r="L205" t="s">
        <v>185</v>
      </c>
      <c r="M205" t="s">
        <v>185</v>
      </c>
      <c r="N205" t="s">
        <v>1440</v>
      </c>
      <c r="O205">
        <v>555029</v>
      </c>
      <c r="P205" t="s">
        <v>1434</v>
      </c>
      <c r="Q205" t="s">
        <v>1441</v>
      </c>
      <c r="R205" t="s">
        <v>1442</v>
      </c>
      <c r="S205">
        <v>420353902207</v>
      </c>
      <c r="T205" t="s">
        <v>1443</v>
      </c>
      <c r="U205" t="s">
        <v>1444</v>
      </c>
      <c r="V205" t="s">
        <v>102</v>
      </c>
      <c r="W205" t="s">
        <v>101</v>
      </c>
      <c r="X205">
        <f>+VLOOKUP(O205,[1]DATA!$B$37:$AW$170,48,0)</f>
        <v>1876</v>
      </c>
    </row>
    <row r="206" spans="1:24" hidden="1">
      <c r="A206">
        <v>60611316</v>
      </c>
      <c r="B206" t="s">
        <v>1445</v>
      </c>
      <c r="C206" t="s">
        <v>181</v>
      </c>
      <c r="D206" t="s">
        <v>182</v>
      </c>
      <c r="E206" t="s">
        <v>183</v>
      </c>
      <c r="F206" t="s">
        <v>184</v>
      </c>
      <c r="G206" s="56" t="s">
        <v>185</v>
      </c>
      <c r="H206" t="s">
        <v>185</v>
      </c>
      <c r="I206" t="s">
        <v>185</v>
      </c>
      <c r="J206" t="s">
        <v>185</v>
      </c>
      <c r="K206" t="s">
        <v>185</v>
      </c>
      <c r="L206" t="s">
        <v>185</v>
      </c>
      <c r="M206" t="s">
        <v>185</v>
      </c>
      <c r="N206" t="s">
        <v>1446</v>
      </c>
      <c r="O206">
        <v>555584</v>
      </c>
      <c r="P206" t="s">
        <v>1447</v>
      </c>
      <c r="Q206" t="s">
        <v>1448</v>
      </c>
      <c r="R206" t="s">
        <v>1449</v>
      </c>
      <c r="S206">
        <v>420353893108</v>
      </c>
      <c r="T206" t="s">
        <v>1450</v>
      </c>
      <c r="U206" t="s">
        <v>1451</v>
      </c>
      <c r="V206" t="s">
        <v>103</v>
      </c>
      <c r="W206" t="s">
        <v>101</v>
      </c>
      <c r="X206">
        <f>+VLOOKUP(O206,[1]DATA!$B$37:$AW$170,48,0)</f>
        <v>565</v>
      </c>
    </row>
    <row r="207" spans="1:24">
      <c r="A207">
        <v>60611821</v>
      </c>
      <c r="B207" t="s">
        <v>1452</v>
      </c>
      <c r="C207" t="s">
        <v>181</v>
      </c>
      <c r="D207" t="s">
        <v>182</v>
      </c>
      <c r="E207" t="s">
        <v>183</v>
      </c>
      <c r="F207" t="s">
        <v>184</v>
      </c>
      <c r="G207" s="55" t="s">
        <v>184</v>
      </c>
      <c r="H207" t="s">
        <v>185</v>
      </c>
      <c r="I207" t="s">
        <v>185</v>
      </c>
      <c r="J207" t="s">
        <v>185</v>
      </c>
      <c r="K207" t="s">
        <v>185</v>
      </c>
      <c r="L207" t="s">
        <v>185</v>
      </c>
      <c r="M207" t="s">
        <v>185</v>
      </c>
      <c r="N207" t="s">
        <v>1453</v>
      </c>
      <c r="O207">
        <v>555622</v>
      </c>
      <c r="P207" t="s">
        <v>1454</v>
      </c>
      <c r="Q207" t="s">
        <v>1455</v>
      </c>
      <c r="R207" t="s">
        <v>1456</v>
      </c>
      <c r="S207">
        <v>420721138895</v>
      </c>
      <c r="T207" t="s">
        <v>1457</v>
      </c>
      <c r="U207" t="s">
        <v>1458</v>
      </c>
      <c r="V207" t="s">
        <v>102</v>
      </c>
      <c r="W207" t="s">
        <v>101</v>
      </c>
      <c r="X207">
        <f>+VLOOKUP(O207,[1]DATA!$B$37:$AW$170,48,0)</f>
        <v>543</v>
      </c>
    </row>
    <row r="208" spans="1:24">
      <c r="A208">
        <v>47701412</v>
      </c>
      <c r="B208" t="s">
        <v>1459</v>
      </c>
      <c r="C208" t="s">
        <v>181</v>
      </c>
      <c r="D208" t="s">
        <v>182</v>
      </c>
      <c r="E208" t="s">
        <v>183</v>
      </c>
      <c r="F208" t="s">
        <v>185</v>
      </c>
      <c r="G208" s="55" t="s">
        <v>184</v>
      </c>
      <c r="H208" t="s">
        <v>185</v>
      </c>
      <c r="I208" t="s">
        <v>185</v>
      </c>
      <c r="J208" t="s">
        <v>185</v>
      </c>
      <c r="K208" t="s">
        <v>184</v>
      </c>
      <c r="L208" t="s">
        <v>185</v>
      </c>
      <c r="M208" t="s">
        <v>185</v>
      </c>
      <c r="N208" t="s">
        <v>1460</v>
      </c>
      <c r="O208">
        <v>555762</v>
      </c>
      <c r="P208" t="s">
        <v>1461</v>
      </c>
      <c r="Q208" t="s">
        <v>1462</v>
      </c>
      <c r="R208" t="s">
        <v>1463</v>
      </c>
      <c r="S208">
        <v>420353393243</v>
      </c>
      <c r="T208" t="s">
        <v>1464</v>
      </c>
      <c r="U208" t="s">
        <v>1465</v>
      </c>
      <c r="V208" t="s">
        <v>102</v>
      </c>
      <c r="W208" t="s">
        <v>101</v>
      </c>
      <c r="X208">
        <f>+VLOOKUP(O208,[1]DATA!$B$37:$AW$170,48,0)</f>
        <v>2153</v>
      </c>
    </row>
    <row r="209" spans="1:24" hidden="1">
      <c r="A209">
        <v>63555522</v>
      </c>
      <c r="B209" t="s">
        <v>1466</v>
      </c>
      <c r="C209" t="s">
        <v>181</v>
      </c>
      <c r="D209" t="s">
        <v>182</v>
      </c>
      <c r="E209" t="s">
        <v>183</v>
      </c>
      <c r="F209" t="s">
        <v>184</v>
      </c>
      <c r="G209" s="56" t="s">
        <v>185</v>
      </c>
      <c r="H209" t="s">
        <v>185</v>
      </c>
      <c r="I209" t="s">
        <v>185</v>
      </c>
      <c r="J209" t="s">
        <v>185</v>
      </c>
      <c r="K209" t="s">
        <v>185</v>
      </c>
      <c r="L209" t="s">
        <v>185</v>
      </c>
      <c r="M209" t="s">
        <v>185</v>
      </c>
      <c r="N209" t="s">
        <v>1467</v>
      </c>
      <c r="O209">
        <v>555762</v>
      </c>
      <c r="P209" t="s">
        <v>1461</v>
      </c>
      <c r="Q209" t="s">
        <v>1468</v>
      </c>
      <c r="R209" t="s">
        <v>1469</v>
      </c>
      <c r="S209">
        <v>420353393242</v>
      </c>
      <c r="T209" t="s">
        <v>1470</v>
      </c>
      <c r="U209" t="s">
        <v>1471</v>
      </c>
      <c r="V209" t="s">
        <v>102</v>
      </c>
      <c r="W209" t="s">
        <v>101</v>
      </c>
      <c r="X209">
        <f>+VLOOKUP(O209,[1]DATA!$B$37:$AW$170,48,0)</f>
        <v>2153</v>
      </c>
    </row>
    <row r="210" spans="1:24">
      <c r="A210">
        <v>70990492</v>
      </c>
      <c r="B210" t="s">
        <v>1472</v>
      </c>
      <c r="C210" t="s">
        <v>181</v>
      </c>
      <c r="D210" t="s">
        <v>182</v>
      </c>
      <c r="E210" t="s">
        <v>183</v>
      </c>
      <c r="F210" t="s">
        <v>184</v>
      </c>
      <c r="G210" s="55" t="s">
        <v>184</v>
      </c>
      <c r="H210" t="s">
        <v>185</v>
      </c>
      <c r="I210" t="s">
        <v>185</v>
      </c>
      <c r="J210" t="s">
        <v>185</v>
      </c>
      <c r="K210" t="s">
        <v>185</v>
      </c>
      <c r="L210" t="s">
        <v>185</v>
      </c>
      <c r="M210" t="s">
        <v>185</v>
      </c>
      <c r="N210" t="s">
        <v>1473</v>
      </c>
      <c r="O210">
        <v>555207</v>
      </c>
      <c r="P210" t="s">
        <v>1474</v>
      </c>
      <c r="Q210" t="s">
        <v>1475</v>
      </c>
      <c r="R210" t="s">
        <v>1476</v>
      </c>
      <c r="S210">
        <v>420353396222</v>
      </c>
      <c r="T210" t="s">
        <v>1477</v>
      </c>
      <c r="U210" t="s">
        <v>1478</v>
      </c>
      <c r="V210" t="s">
        <v>102</v>
      </c>
      <c r="W210" t="s">
        <v>101</v>
      </c>
      <c r="X210">
        <f>+VLOOKUP(O210,[1]DATA!$B$37:$AW$170,48,0)</f>
        <v>586</v>
      </c>
    </row>
    <row r="211" spans="1:24">
      <c r="A211">
        <v>75006219</v>
      </c>
      <c r="B211" t="s">
        <v>1479</v>
      </c>
      <c r="C211" t="s">
        <v>181</v>
      </c>
      <c r="D211" t="s">
        <v>182</v>
      </c>
      <c r="E211" t="s">
        <v>183</v>
      </c>
      <c r="F211" t="s">
        <v>184</v>
      </c>
      <c r="G211" s="55" t="s">
        <v>184</v>
      </c>
      <c r="H211" t="s">
        <v>185</v>
      </c>
      <c r="I211" t="s">
        <v>185</v>
      </c>
      <c r="J211" t="s">
        <v>185</v>
      </c>
      <c r="K211" t="s">
        <v>185</v>
      </c>
      <c r="L211" t="s">
        <v>185</v>
      </c>
      <c r="M211" t="s">
        <v>185</v>
      </c>
      <c r="N211" t="s">
        <v>1480</v>
      </c>
      <c r="O211">
        <v>555690</v>
      </c>
      <c r="P211" t="s">
        <v>1481</v>
      </c>
      <c r="Q211" t="s">
        <v>1482</v>
      </c>
      <c r="R211" t="s">
        <v>1483</v>
      </c>
      <c r="S211">
        <v>420604895632</v>
      </c>
      <c r="T211" t="s">
        <v>1484</v>
      </c>
      <c r="U211" t="s">
        <v>1485</v>
      </c>
      <c r="V211" t="s">
        <v>102</v>
      </c>
      <c r="W211" t="s">
        <v>101</v>
      </c>
      <c r="X211">
        <f>+VLOOKUP(O211,[1]DATA!$B$37:$AW$170,48,0)</f>
        <v>320</v>
      </c>
    </row>
    <row r="212" spans="1:24">
      <c r="A212">
        <v>69983551</v>
      </c>
      <c r="B212" t="s">
        <v>1486</v>
      </c>
      <c r="C212" t="s">
        <v>181</v>
      </c>
      <c r="D212" t="s">
        <v>182</v>
      </c>
      <c r="E212" t="s">
        <v>183</v>
      </c>
      <c r="F212" t="s">
        <v>184</v>
      </c>
      <c r="G212" s="55" t="s">
        <v>184</v>
      </c>
      <c r="H212" t="s">
        <v>185</v>
      </c>
      <c r="I212" t="s">
        <v>185</v>
      </c>
      <c r="J212" t="s">
        <v>185</v>
      </c>
      <c r="K212" t="s">
        <v>185</v>
      </c>
      <c r="L212" t="s">
        <v>185</v>
      </c>
      <c r="M212" t="s">
        <v>185</v>
      </c>
      <c r="N212" t="s">
        <v>1487</v>
      </c>
      <c r="O212">
        <v>538434</v>
      </c>
      <c r="P212" t="s">
        <v>1488</v>
      </c>
      <c r="Q212" t="s">
        <v>1489</v>
      </c>
      <c r="R212" t="s">
        <v>1490</v>
      </c>
      <c r="S212">
        <v>420352609048</v>
      </c>
      <c r="T212" t="s">
        <v>1491</v>
      </c>
      <c r="U212" t="s">
        <v>1492</v>
      </c>
      <c r="V212" t="s">
        <v>106</v>
      </c>
      <c r="W212" t="s">
        <v>104</v>
      </c>
      <c r="X212">
        <f>+VLOOKUP(O212,[1]DATA!$B$37:$AW$170,48,0)</f>
        <v>1593</v>
      </c>
    </row>
    <row r="213" spans="1:24" hidden="1">
      <c r="A213">
        <v>47723416</v>
      </c>
      <c r="B213" t="s">
        <v>1493</v>
      </c>
      <c r="C213" t="s">
        <v>181</v>
      </c>
      <c r="D213" t="s">
        <v>182</v>
      </c>
      <c r="E213" t="s">
        <v>129</v>
      </c>
      <c r="F213" t="s">
        <v>185</v>
      </c>
      <c r="G213" s="56" t="s">
        <v>185</v>
      </c>
      <c r="H213" t="s">
        <v>184</v>
      </c>
      <c r="I213" t="s">
        <v>185</v>
      </c>
      <c r="J213" t="s">
        <v>185</v>
      </c>
      <c r="K213" t="s">
        <v>185</v>
      </c>
      <c r="L213" t="s">
        <v>185</v>
      </c>
      <c r="M213" t="s">
        <v>185</v>
      </c>
      <c r="N213" t="s">
        <v>1494</v>
      </c>
      <c r="O213">
        <v>554499</v>
      </c>
      <c r="P213" t="s">
        <v>66</v>
      </c>
      <c r="Q213" t="s">
        <v>1495</v>
      </c>
      <c r="R213" t="s">
        <v>1496</v>
      </c>
      <c r="S213">
        <v>420354525585</v>
      </c>
      <c r="T213" t="s">
        <v>1497</v>
      </c>
      <c r="U213" t="s">
        <v>1498</v>
      </c>
      <c r="V213" t="s">
        <v>98</v>
      </c>
      <c r="W213" t="s">
        <v>97</v>
      </c>
      <c r="X213">
        <f>+VLOOKUP(O213,[1]DATA!$B$37:$AW$170,48,0)</f>
        <v>12683</v>
      </c>
    </row>
    <row r="214" spans="1:24" hidden="1">
      <c r="A214">
        <v>49767267</v>
      </c>
      <c r="B214" t="s">
        <v>1499</v>
      </c>
      <c r="C214" t="s">
        <v>181</v>
      </c>
      <c r="D214" t="s">
        <v>182</v>
      </c>
      <c r="E214" t="s">
        <v>129</v>
      </c>
      <c r="F214" t="s">
        <v>185</v>
      </c>
      <c r="G214" s="56" t="s">
        <v>185</v>
      </c>
      <c r="H214" t="s">
        <v>185</v>
      </c>
      <c r="I214" t="s">
        <v>185</v>
      </c>
      <c r="J214" t="s">
        <v>185</v>
      </c>
      <c r="K214" t="s">
        <v>185</v>
      </c>
      <c r="L214" t="s">
        <v>185</v>
      </c>
      <c r="M214" t="s">
        <v>184</v>
      </c>
      <c r="N214" t="s">
        <v>1500</v>
      </c>
      <c r="O214">
        <v>554481</v>
      </c>
      <c r="P214" t="s">
        <v>67</v>
      </c>
      <c r="Q214" t="s">
        <v>1501</v>
      </c>
      <c r="R214" t="s">
        <v>1502</v>
      </c>
      <c r="S214">
        <v>420352688438</v>
      </c>
      <c r="T214" t="s">
        <v>1503</v>
      </c>
      <c r="U214" t="s">
        <v>1504</v>
      </c>
      <c r="V214" t="s">
        <v>99</v>
      </c>
      <c r="W214" t="s">
        <v>97</v>
      </c>
      <c r="X214">
        <f>+VLOOKUP(O214,[1]DATA!$B$37:$AW$170,48,0)</f>
        <v>32892</v>
      </c>
    </row>
    <row r="215" spans="1:24" hidden="1">
      <c r="A215">
        <v>47723386</v>
      </c>
      <c r="B215" t="s">
        <v>1505</v>
      </c>
      <c r="C215" t="s">
        <v>181</v>
      </c>
      <c r="D215" t="s">
        <v>182</v>
      </c>
      <c r="E215" t="s">
        <v>129</v>
      </c>
      <c r="F215" t="s">
        <v>185</v>
      </c>
      <c r="G215" s="56" t="s">
        <v>185</v>
      </c>
      <c r="H215" t="s">
        <v>184</v>
      </c>
      <c r="I215" t="s">
        <v>185</v>
      </c>
      <c r="J215" t="s">
        <v>185</v>
      </c>
      <c r="K215" t="s">
        <v>185</v>
      </c>
      <c r="L215" t="s">
        <v>185</v>
      </c>
      <c r="M215" t="s">
        <v>185</v>
      </c>
      <c r="N215" t="s">
        <v>1506</v>
      </c>
      <c r="O215">
        <v>554481</v>
      </c>
      <c r="P215" t="s">
        <v>67</v>
      </c>
      <c r="Q215" t="s">
        <v>1507</v>
      </c>
      <c r="R215" t="s">
        <v>1508</v>
      </c>
      <c r="S215">
        <v>420739322319</v>
      </c>
      <c r="T215" t="s">
        <v>1509</v>
      </c>
      <c r="U215" t="s">
        <v>1510</v>
      </c>
      <c r="V215" t="s">
        <v>99</v>
      </c>
      <c r="W215" t="s">
        <v>97</v>
      </c>
      <c r="X215">
        <f>+VLOOKUP(O215,[1]DATA!$B$37:$AW$170,48,0)</f>
        <v>32892</v>
      </c>
    </row>
    <row r="216" spans="1:24" hidden="1">
      <c r="A216">
        <v>77461</v>
      </c>
      <c r="B216" t="s">
        <v>1511</v>
      </c>
      <c r="C216" t="s">
        <v>181</v>
      </c>
      <c r="D216" t="s">
        <v>182</v>
      </c>
      <c r="E216" t="s">
        <v>129</v>
      </c>
      <c r="F216" t="s">
        <v>185</v>
      </c>
      <c r="G216" s="56" t="s">
        <v>185</v>
      </c>
      <c r="H216" t="s">
        <v>184</v>
      </c>
      <c r="I216" t="s">
        <v>185</v>
      </c>
      <c r="J216" t="s">
        <v>185</v>
      </c>
      <c r="K216" t="s">
        <v>185</v>
      </c>
      <c r="L216" t="s">
        <v>185</v>
      </c>
      <c r="M216" t="s">
        <v>185</v>
      </c>
      <c r="N216" t="s">
        <v>1512</v>
      </c>
      <c r="O216">
        <v>554481</v>
      </c>
      <c r="P216" t="s">
        <v>67</v>
      </c>
      <c r="Q216" t="s">
        <v>1513</v>
      </c>
      <c r="R216" t="s">
        <v>1514</v>
      </c>
      <c r="S216">
        <v>420354408011</v>
      </c>
      <c r="T216" t="s">
        <v>1515</v>
      </c>
      <c r="U216" t="s">
        <v>1516</v>
      </c>
      <c r="V216" t="s">
        <v>99</v>
      </c>
      <c r="W216" t="s">
        <v>97</v>
      </c>
      <c r="X216">
        <f>+VLOOKUP(O216,[1]DATA!$B$37:$AW$170,48,0)</f>
        <v>32892</v>
      </c>
    </row>
    <row r="217" spans="1:24" hidden="1">
      <c r="A217">
        <v>669733</v>
      </c>
      <c r="B217" t="s">
        <v>1517</v>
      </c>
      <c r="C217" t="s">
        <v>181</v>
      </c>
      <c r="D217" t="s">
        <v>182</v>
      </c>
      <c r="E217" t="s">
        <v>129</v>
      </c>
      <c r="F217" t="s">
        <v>185</v>
      </c>
      <c r="G217" s="56" t="s">
        <v>185</v>
      </c>
      <c r="H217" t="s">
        <v>184</v>
      </c>
      <c r="I217" t="s">
        <v>184</v>
      </c>
      <c r="J217" t="s">
        <v>185</v>
      </c>
      <c r="K217" t="s">
        <v>185</v>
      </c>
      <c r="L217" t="s">
        <v>185</v>
      </c>
      <c r="M217" t="s">
        <v>185</v>
      </c>
      <c r="N217" t="s">
        <v>1518</v>
      </c>
      <c r="O217">
        <v>554481</v>
      </c>
      <c r="P217" t="s">
        <v>67</v>
      </c>
      <c r="Q217" t="s">
        <v>1519</v>
      </c>
      <c r="R217" t="s">
        <v>1520</v>
      </c>
      <c r="S217">
        <v>420351011061</v>
      </c>
      <c r="T217" t="s">
        <v>1521</v>
      </c>
      <c r="U217" t="s">
        <v>1522</v>
      </c>
      <c r="V217" t="s">
        <v>99</v>
      </c>
      <c r="W217" t="s">
        <v>97</v>
      </c>
      <c r="X217">
        <f>+VLOOKUP(O217,[1]DATA!$B$37:$AW$170,48,0)</f>
        <v>32892</v>
      </c>
    </row>
    <row r="218" spans="1:24" hidden="1">
      <c r="A218">
        <v>76899</v>
      </c>
      <c r="B218" t="s">
        <v>1523</v>
      </c>
      <c r="C218" t="s">
        <v>181</v>
      </c>
      <c r="D218" t="s">
        <v>182</v>
      </c>
      <c r="E218" t="s">
        <v>129</v>
      </c>
      <c r="F218" t="s">
        <v>185</v>
      </c>
      <c r="G218" s="56" t="s">
        <v>185</v>
      </c>
      <c r="H218" t="s">
        <v>185</v>
      </c>
      <c r="I218" t="s">
        <v>185</v>
      </c>
      <c r="J218" t="s">
        <v>185</v>
      </c>
      <c r="K218" t="s">
        <v>185</v>
      </c>
      <c r="L218" t="s">
        <v>185</v>
      </c>
      <c r="M218" t="s">
        <v>184</v>
      </c>
      <c r="N218" t="s">
        <v>1524</v>
      </c>
      <c r="O218">
        <v>554481</v>
      </c>
      <c r="P218" t="s">
        <v>67</v>
      </c>
      <c r="Q218" t="s">
        <v>1525</v>
      </c>
      <c r="R218" t="s">
        <v>1526</v>
      </c>
      <c r="S218">
        <v>420354548711</v>
      </c>
      <c r="T218" t="s">
        <v>1527</v>
      </c>
      <c r="U218" t="s">
        <v>1528</v>
      </c>
      <c r="V218" t="s">
        <v>99</v>
      </c>
      <c r="W218" t="s">
        <v>97</v>
      </c>
      <c r="X218">
        <f>+VLOOKUP(O218,[1]DATA!$B$37:$AW$170,48,0)</f>
        <v>32892</v>
      </c>
    </row>
    <row r="219" spans="1:24" hidden="1">
      <c r="A219">
        <v>49767194</v>
      </c>
      <c r="B219" t="s">
        <v>1529</v>
      </c>
      <c r="C219" t="s">
        <v>181</v>
      </c>
      <c r="D219" t="s">
        <v>182</v>
      </c>
      <c r="E219" t="s">
        <v>129</v>
      </c>
      <c r="F219" t="s">
        <v>185</v>
      </c>
      <c r="G219" s="56" t="s">
        <v>185</v>
      </c>
      <c r="H219" t="s">
        <v>184</v>
      </c>
      <c r="I219" t="s">
        <v>185</v>
      </c>
      <c r="J219" t="s">
        <v>185</v>
      </c>
      <c r="K219" t="s">
        <v>185</v>
      </c>
      <c r="L219" t="s">
        <v>185</v>
      </c>
      <c r="M219" t="s">
        <v>184</v>
      </c>
      <c r="N219" t="s">
        <v>1530</v>
      </c>
      <c r="O219">
        <v>560286</v>
      </c>
      <c r="P219" t="s">
        <v>72</v>
      </c>
      <c r="Q219" t="s">
        <v>1531</v>
      </c>
      <c r="R219" t="s">
        <v>1532</v>
      </c>
      <c r="S219">
        <v>420352623342</v>
      </c>
      <c r="T219" t="s">
        <v>1533</v>
      </c>
      <c r="U219" t="s">
        <v>1534</v>
      </c>
      <c r="V219" t="s">
        <v>106</v>
      </c>
      <c r="W219" t="s">
        <v>104</v>
      </c>
      <c r="X219">
        <f>+VLOOKUP(O219,[1]DATA!$B$37:$AW$170,48,0)</f>
        <v>21908</v>
      </c>
    </row>
    <row r="220" spans="1:24" hidden="1">
      <c r="A220">
        <v>75059151</v>
      </c>
      <c r="B220" t="s">
        <v>1535</v>
      </c>
      <c r="C220" t="s">
        <v>181</v>
      </c>
      <c r="D220" t="s">
        <v>182</v>
      </c>
      <c r="E220" t="s">
        <v>129</v>
      </c>
      <c r="F220" t="s">
        <v>185</v>
      </c>
      <c r="G220" s="56" t="s">
        <v>185</v>
      </c>
      <c r="H220" t="s">
        <v>184</v>
      </c>
      <c r="I220" t="s">
        <v>185</v>
      </c>
      <c r="J220" t="s">
        <v>185</v>
      </c>
      <c r="K220" t="s">
        <v>185</v>
      </c>
      <c r="L220" t="s">
        <v>185</v>
      </c>
      <c r="M220" t="s">
        <v>185</v>
      </c>
      <c r="N220" t="s">
        <v>1536</v>
      </c>
      <c r="O220">
        <v>560286</v>
      </c>
      <c r="P220" t="s">
        <v>72</v>
      </c>
      <c r="Q220" t="s">
        <v>1537</v>
      </c>
      <c r="R220" t="s">
        <v>1538</v>
      </c>
      <c r="S220">
        <v>420352622765</v>
      </c>
      <c r="T220" t="s">
        <v>1539</v>
      </c>
      <c r="U220" t="s">
        <v>1540</v>
      </c>
      <c r="V220" t="s">
        <v>106</v>
      </c>
      <c r="W220" t="s">
        <v>104</v>
      </c>
      <c r="X220">
        <f>+VLOOKUP(O220,[1]DATA!$B$37:$AW$170,48,0)</f>
        <v>21908</v>
      </c>
    </row>
    <row r="221" spans="1:24" hidden="1">
      <c r="A221">
        <v>49766929</v>
      </c>
      <c r="B221" t="s">
        <v>1541</v>
      </c>
      <c r="C221" t="s">
        <v>181</v>
      </c>
      <c r="D221" t="s">
        <v>182</v>
      </c>
      <c r="E221" t="s">
        <v>129</v>
      </c>
      <c r="F221" t="s">
        <v>185</v>
      </c>
      <c r="G221" s="56" t="s">
        <v>185</v>
      </c>
      <c r="H221" t="s">
        <v>184</v>
      </c>
      <c r="I221" t="s">
        <v>185</v>
      </c>
      <c r="J221" t="s">
        <v>185</v>
      </c>
      <c r="K221" t="s">
        <v>185</v>
      </c>
      <c r="L221" t="s">
        <v>185</v>
      </c>
      <c r="M221" t="s">
        <v>185</v>
      </c>
      <c r="N221" t="s">
        <v>1542</v>
      </c>
      <c r="O221">
        <v>560286</v>
      </c>
      <c r="P221" t="s">
        <v>72</v>
      </c>
      <c r="Q221" t="s">
        <v>1543</v>
      </c>
      <c r="R221" t="s">
        <v>1544</v>
      </c>
      <c r="S221">
        <v>420352603825</v>
      </c>
      <c r="T221" t="s">
        <v>1545</v>
      </c>
      <c r="U221" t="s">
        <v>1546</v>
      </c>
      <c r="V221" t="s">
        <v>106</v>
      </c>
      <c r="W221" t="s">
        <v>104</v>
      </c>
      <c r="X221">
        <f>+VLOOKUP(O221,[1]DATA!$B$37:$AW$170,48,0)</f>
        <v>21908</v>
      </c>
    </row>
    <row r="222" spans="1:24" hidden="1">
      <c r="A222">
        <v>77119</v>
      </c>
      <c r="B222" t="s">
        <v>1547</v>
      </c>
      <c r="C222" t="s">
        <v>181</v>
      </c>
      <c r="D222" t="s">
        <v>182</v>
      </c>
      <c r="E222" t="s">
        <v>129</v>
      </c>
      <c r="F222" t="s">
        <v>185</v>
      </c>
      <c r="G222" s="56" t="s">
        <v>185</v>
      </c>
      <c r="H222" t="s">
        <v>184</v>
      </c>
      <c r="I222" t="s">
        <v>185</v>
      </c>
      <c r="J222" t="s">
        <v>185</v>
      </c>
      <c r="K222" t="s">
        <v>185</v>
      </c>
      <c r="L222" t="s">
        <v>185</v>
      </c>
      <c r="M222" t="s">
        <v>185</v>
      </c>
      <c r="N222" t="s">
        <v>1548</v>
      </c>
      <c r="O222">
        <v>554642</v>
      </c>
      <c r="P222" t="s">
        <v>847</v>
      </c>
      <c r="Q222" t="s">
        <v>1549</v>
      </c>
      <c r="R222" t="s">
        <v>1550</v>
      </c>
      <c r="S222">
        <v>420354622605</v>
      </c>
      <c r="T222" t="s">
        <v>1551</v>
      </c>
      <c r="U222" t="s">
        <v>1552</v>
      </c>
      <c r="V222" t="s">
        <v>100</v>
      </c>
      <c r="W222" t="s">
        <v>97</v>
      </c>
      <c r="X222">
        <f>+VLOOKUP(O222,[1]DATA!$B$37:$AW$170,48,0)</f>
        <v>13921</v>
      </c>
    </row>
    <row r="223" spans="1:24" hidden="1">
      <c r="A223">
        <v>47723394</v>
      </c>
      <c r="B223" t="s">
        <v>1553</v>
      </c>
      <c r="C223" t="s">
        <v>181</v>
      </c>
      <c r="D223" t="s">
        <v>182</v>
      </c>
      <c r="E223" t="s">
        <v>129</v>
      </c>
      <c r="F223" t="s">
        <v>185</v>
      </c>
      <c r="G223" s="56" t="s">
        <v>185</v>
      </c>
      <c r="H223" t="s">
        <v>184</v>
      </c>
      <c r="I223" t="s">
        <v>185</v>
      </c>
      <c r="J223" t="s">
        <v>185</v>
      </c>
      <c r="K223" t="s">
        <v>185</v>
      </c>
      <c r="L223" t="s">
        <v>185</v>
      </c>
      <c r="M223" t="s">
        <v>185</v>
      </c>
      <c r="N223" t="s">
        <v>1554</v>
      </c>
      <c r="O223">
        <v>554642</v>
      </c>
      <c r="P223" t="s">
        <v>847</v>
      </c>
      <c r="Q223" t="s">
        <v>1555</v>
      </c>
      <c r="R223" t="s">
        <v>1556</v>
      </c>
      <c r="S223">
        <v>420354624166</v>
      </c>
      <c r="T223" t="s">
        <v>1557</v>
      </c>
      <c r="U223" t="s">
        <v>1558</v>
      </c>
      <c r="V223" t="s">
        <v>100</v>
      </c>
      <c r="W223" t="s">
        <v>97</v>
      </c>
      <c r="X223">
        <f>+VLOOKUP(O223,[1]DATA!$B$37:$AW$170,48,0)</f>
        <v>13921</v>
      </c>
    </row>
    <row r="224" spans="1:24" hidden="1">
      <c r="A224">
        <v>377945</v>
      </c>
      <c r="B224" t="s">
        <v>1559</v>
      </c>
      <c r="C224" t="s">
        <v>181</v>
      </c>
      <c r="D224" t="s">
        <v>182</v>
      </c>
      <c r="E224" t="s">
        <v>129</v>
      </c>
      <c r="F224" t="s">
        <v>185</v>
      </c>
      <c r="G224" s="56" t="s">
        <v>185</v>
      </c>
      <c r="H224" t="s">
        <v>185</v>
      </c>
      <c r="I224" t="s">
        <v>185</v>
      </c>
      <c r="J224" t="s">
        <v>185</v>
      </c>
      <c r="K224" t="s">
        <v>185</v>
      </c>
      <c r="L224" t="s">
        <v>185</v>
      </c>
      <c r="M224" t="s">
        <v>184</v>
      </c>
      <c r="N224" t="s">
        <v>1560</v>
      </c>
      <c r="O224">
        <v>554642</v>
      </c>
      <c r="P224" t="s">
        <v>847</v>
      </c>
      <c r="Q224" t="s">
        <v>1561</v>
      </c>
      <c r="R224" t="s">
        <v>1562</v>
      </c>
      <c r="S224">
        <v>420354623924</v>
      </c>
      <c r="T224" t="s">
        <v>1563</v>
      </c>
      <c r="U224" t="s">
        <v>1564</v>
      </c>
      <c r="V224" t="s">
        <v>100</v>
      </c>
      <c r="W224" t="s">
        <v>97</v>
      </c>
      <c r="X224">
        <f>+VLOOKUP(O224,[1]DATA!$B$37:$AW$170,48,0)</f>
        <v>13921</v>
      </c>
    </row>
    <row r="225" spans="1:24" hidden="1">
      <c r="A225">
        <v>47723424</v>
      </c>
      <c r="B225" t="s">
        <v>1565</v>
      </c>
      <c r="C225" t="s">
        <v>181</v>
      </c>
      <c r="D225" t="s">
        <v>182</v>
      </c>
      <c r="E225" t="s">
        <v>129</v>
      </c>
      <c r="F225" t="s">
        <v>185</v>
      </c>
      <c r="G225" s="56" t="s">
        <v>185</v>
      </c>
      <c r="H225" t="s">
        <v>185</v>
      </c>
      <c r="I225" t="s">
        <v>185</v>
      </c>
      <c r="J225" t="s">
        <v>185</v>
      </c>
      <c r="K225" t="s">
        <v>185</v>
      </c>
      <c r="L225" t="s">
        <v>185</v>
      </c>
      <c r="M225" t="s">
        <v>184</v>
      </c>
      <c r="N225" t="s">
        <v>1566</v>
      </c>
      <c r="O225">
        <v>554642</v>
      </c>
      <c r="P225" t="s">
        <v>847</v>
      </c>
      <c r="Q225" t="s">
        <v>1567</v>
      </c>
      <c r="R225" t="s">
        <v>1568</v>
      </c>
      <c r="S225">
        <v>420354602261</v>
      </c>
      <c r="T225" t="s">
        <v>1569</v>
      </c>
      <c r="U225" t="s">
        <v>1570</v>
      </c>
      <c r="V225" t="s">
        <v>100</v>
      </c>
      <c r="W225" t="s">
        <v>97</v>
      </c>
      <c r="X225">
        <f>+VLOOKUP(O225,[1]DATA!$B$37:$AW$170,48,0)</f>
        <v>13921</v>
      </c>
    </row>
    <row r="226" spans="1:24">
      <c r="A226">
        <v>66362725</v>
      </c>
      <c r="B226" t="s">
        <v>1571</v>
      </c>
      <c r="C226" t="s">
        <v>181</v>
      </c>
      <c r="D226" t="s">
        <v>182</v>
      </c>
      <c r="E226" t="s">
        <v>129</v>
      </c>
      <c r="F226" t="s">
        <v>185</v>
      </c>
      <c r="G226" s="55" t="s">
        <v>184</v>
      </c>
      <c r="H226" t="s">
        <v>184</v>
      </c>
      <c r="I226" t="s">
        <v>185</v>
      </c>
      <c r="J226" t="s">
        <v>185</v>
      </c>
      <c r="K226" t="s">
        <v>185</v>
      </c>
      <c r="L226" t="s">
        <v>185</v>
      </c>
      <c r="M226" t="s">
        <v>185</v>
      </c>
      <c r="N226" t="s">
        <v>1572</v>
      </c>
      <c r="O226">
        <v>554961</v>
      </c>
      <c r="P226" t="s">
        <v>1147</v>
      </c>
      <c r="Q226" t="s">
        <v>1573</v>
      </c>
      <c r="R226" t="s">
        <v>1574</v>
      </c>
      <c r="S226">
        <v>420608867999</v>
      </c>
      <c r="T226" t="s">
        <v>1575</v>
      </c>
      <c r="U226" t="s">
        <v>1576</v>
      </c>
      <c r="V226" t="s">
        <v>102</v>
      </c>
      <c r="W226" t="s">
        <v>101</v>
      </c>
      <c r="X226">
        <f>+VLOOKUP(O226,[1]DATA!$B$37:$AW$170,48,0)</f>
        <v>48788</v>
      </c>
    </row>
    <row r="227" spans="1:24" hidden="1">
      <c r="A227">
        <v>63554453</v>
      </c>
      <c r="B227" t="s">
        <v>1577</v>
      </c>
      <c r="C227" t="s">
        <v>181</v>
      </c>
      <c r="D227" t="s">
        <v>182</v>
      </c>
      <c r="E227" t="s">
        <v>129</v>
      </c>
      <c r="F227" t="s">
        <v>185</v>
      </c>
      <c r="G227" s="56" t="s">
        <v>185</v>
      </c>
      <c r="H227" t="s">
        <v>185</v>
      </c>
      <c r="I227" t="s">
        <v>185</v>
      </c>
      <c r="J227" t="s">
        <v>185</v>
      </c>
      <c r="K227" t="s">
        <v>184</v>
      </c>
      <c r="L227" t="s">
        <v>185</v>
      </c>
      <c r="M227" t="s">
        <v>185</v>
      </c>
      <c r="N227" t="s">
        <v>1578</v>
      </c>
      <c r="O227">
        <v>554995</v>
      </c>
      <c r="P227" t="s">
        <v>1166</v>
      </c>
      <c r="Q227" t="s">
        <v>1579</v>
      </c>
      <c r="R227" t="s">
        <v>1580</v>
      </c>
      <c r="S227">
        <v>420353999348</v>
      </c>
      <c r="T227" t="s">
        <v>1581</v>
      </c>
      <c r="U227" t="s">
        <v>1582</v>
      </c>
      <c r="V227" t="s">
        <v>102</v>
      </c>
      <c r="W227" t="s">
        <v>101</v>
      </c>
      <c r="X227">
        <f>+VLOOKUP(O227,[1]DATA!$B$37:$AW$170,48,0)</f>
        <v>911</v>
      </c>
    </row>
    <row r="228" spans="1:24" hidden="1">
      <c r="A228">
        <v>77135</v>
      </c>
      <c r="B228" t="s">
        <v>1583</v>
      </c>
      <c r="C228" t="s">
        <v>181</v>
      </c>
      <c r="D228" t="s">
        <v>182</v>
      </c>
      <c r="E228" t="s">
        <v>129</v>
      </c>
      <c r="F228" t="s">
        <v>185</v>
      </c>
      <c r="G228" s="56" t="s">
        <v>185</v>
      </c>
      <c r="H228" t="s">
        <v>184</v>
      </c>
      <c r="I228" t="s">
        <v>185</v>
      </c>
      <c r="J228" t="s">
        <v>185</v>
      </c>
      <c r="K228" t="s">
        <v>185</v>
      </c>
      <c r="L228" t="s">
        <v>185</v>
      </c>
      <c r="M228" t="s">
        <v>185</v>
      </c>
      <c r="N228" t="s">
        <v>1584</v>
      </c>
      <c r="O228">
        <v>554961</v>
      </c>
      <c r="P228" t="s">
        <v>1147</v>
      </c>
      <c r="Q228" t="s">
        <v>1585</v>
      </c>
      <c r="R228" t="s">
        <v>1586</v>
      </c>
      <c r="S228">
        <v>420739322484</v>
      </c>
      <c r="T228" t="s">
        <v>1587</v>
      </c>
      <c r="U228" t="s">
        <v>1588</v>
      </c>
      <c r="V228" t="s">
        <v>102</v>
      </c>
      <c r="W228" t="s">
        <v>101</v>
      </c>
      <c r="X228">
        <f>+VLOOKUP(O228,[1]DATA!$B$37:$AW$170,48,0)</f>
        <v>48788</v>
      </c>
    </row>
    <row r="229" spans="1:24" hidden="1">
      <c r="A229">
        <v>63553597</v>
      </c>
      <c r="B229" t="s">
        <v>1589</v>
      </c>
      <c r="C229" t="s">
        <v>181</v>
      </c>
      <c r="D229" t="s">
        <v>182</v>
      </c>
      <c r="E229" t="s">
        <v>129</v>
      </c>
      <c r="F229" t="s">
        <v>185</v>
      </c>
      <c r="G229" s="56" t="s">
        <v>185</v>
      </c>
      <c r="H229" t="s">
        <v>184</v>
      </c>
      <c r="I229" t="s">
        <v>184</v>
      </c>
      <c r="J229" t="s">
        <v>185</v>
      </c>
      <c r="K229" t="s">
        <v>185</v>
      </c>
      <c r="L229" t="s">
        <v>185</v>
      </c>
      <c r="M229" t="s">
        <v>185</v>
      </c>
      <c r="N229" t="s">
        <v>1590</v>
      </c>
      <c r="O229">
        <v>554961</v>
      </c>
      <c r="P229" t="s">
        <v>1147</v>
      </c>
      <c r="Q229" t="s">
        <v>1591</v>
      </c>
      <c r="R229" t="s">
        <v>1592</v>
      </c>
      <c r="S229">
        <v>420354224150</v>
      </c>
      <c r="T229" t="s">
        <v>1593</v>
      </c>
      <c r="U229" t="s">
        <v>1594</v>
      </c>
      <c r="V229" t="s">
        <v>102</v>
      </c>
      <c r="W229" t="s">
        <v>101</v>
      </c>
      <c r="X229">
        <f>+VLOOKUP(O229,[1]DATA!$B$37:$AW$170,48,0)</f>
        <v>48788</v>
      </c>
    </row>
    <row r="230" spans="1:24">
      <c r="A230">
        <v>70838992</v>
      </c>
      <c r="B230" t="s">
        <v>1595</v>
      </c>
      <c r="C230" t="s">
        <v>181</v>
      </c>
      <c r="D230" t="s">
        <v>182</v>
      </c>
      <c r="E230" t="s">
        <v>129</v>
      </c>
      <c r="F230" t="s">
        <v>184</v>
      </c>
      <c r="G230" s="55" t="s">
        <v>184</v>
      </c>
      <c r="H230" t="s">
        <v>185</v>
      </c>
      <c r="I230" t="s">
        <v>185</v>
      </c>
      <c r="J230" t="s">
        <v>185</v>
      </c>
      <c r="K230" t="s">
        <v>185</v>
      </c>
      <c r="L230" t="s">
        <v>185</v>
      </c>
      <c r="M230" t="s">
        <v>185</v>
      </c>
      <c r="N230" t="s">
        <v>1596</v>
      </c>
      <c r="O230">
        <v>554961</v>
      </c>
      <c r="P230" t="s">
        <v>1147</v>
      </c>
      <c r="Q230" t="s">
        <v>1597</v>
      </c>
      <c r="R230" t="s">
        <v>1598</v>
      </c>
      <c r="S230">
        <v>420777680166</v>
      </c>
      <c r="T230" t="s">
        <v>1599</v>
      </c>
      <c r="U230" t="s">
        <v>1600</v>
      </c>
      <c r="V230" t="s">
        <v>102</v>
      </c>
      <c r="W230" t="s">
        <v>101</v>
      </c>
      <c r="X230">
        <f>+VLOOKUP(O230,[1]DATA!$B$37:$AW$170,48,0)</f>
        <v>48788</v>
      </c>
    </row>
    <row r="231" spans="1:24" hidden="1">
      <c r="A231">
        <v>669709</v>
      </c>
      <c r="B231" t="s">
        <v>1601</v>
      </c>
      <c r="C231" t="s">
        <v>181</v>
      </c>
      <c r="D231" t="s">
        <v>182</v>
      </c>
      <c r="E231" t="s">
        <v>129</v>
      </c>
      <c r="F231" t="s">
        <v>185</v>
      </c>
      <c r="G231" s="56" t="s">
        <v>185</v>
      </c>
      <c r="H231" t="s">
        <v>184</v>
      </c>
      <c r="I231" t="s">
        <v>184</v>
      </c>
      <c r="J231" t="s">
        <v>185</v>
      </c>
      <c r="K231" t="s">
        <v>185</v>
      </c>
      <c r="L231" t="s">
        <v>185</v>
      </c>
      <c r="M231" t="s">
        <v>185</v>
      </c>
      <c r="N231" t="s">
        <v>1602</v>
      </c>
      <c r="O231">
        <v>554961</v>
      </c>
      <c r="P231" t="s">
        <v>1147</v>
      </c>
      <c r="Q231" t="s">
        <v>1603</v>
      </c>
      <c r="R231" t="s">
        <v>1604</v>
      </c>
      <c r="S231">
        <v>420353233936</v>
      </c>
      <c r="T231" t="s">
        <v>1605</v>
      </c>
      <c r="U231" t="s">
        <v>1606</v>
      </c>
      <c r="V231" t="s">
        <v>102</v>
      </c>
      <c r="W231" t="s">
        <v>101</v>
      </c>
      <c r="X231">
        <f>+VLOOKUP(O231,[1]DATA!$B$37:$AW$170,48,0)</f>
        <v>48788</v>
      </c>
    </row>
    <row r="232" spans="1:24" hidden="1">
      <c r="A232">
        <v>520055</v>
      </c>
      <c r="B232" t="s">
        <v>1607</v>
      </c>
      <c r="C232" t="s">
        <v>181</v>
      </c>
      <c r="D232" t="s">
        <v>182</v>
      </c>
      <c r="E232" t="s">
        <v>129</v>
      </c>
      <c r="F232" t="s">
        <v>185</v>
      </c>
      <c r="G232" s="56" t="s">
        <v>185</v>
      </c>
      <c r="H232" t="s">
        <v>184</v>
      </c>
      <c r="I232" t="s">
        <v>185</v>
      </c>
      <c r="J232" t="s">
        <v>185</v>
      </c>
      <c r="K232" t="s">
        <v>185</v>
      </c>
      <c r="L232" t="s">
        <v>185</v>
      </c>
      <c r="M232" t="s">
        <v>185</v>
      </c>
      <c r="N232" t="s">
        <v>1608</v>
      </c>
      <c r="O232">
        <v>554961</v>
      </c>
      <c r="P232" t="s">
        <v>1147</v>
      </c>
      <c r="Q232" t="s">
        <v>1609</v>
      </c>
      <c r="R232" t="s">
        <v>1610</v>
      </c>
      <c r="S232">
        <v>420353176611</v>
      </c>
      <c r="T232" t="s">
        <v>1611</v>
      </c>
      <c r="U232" t="s">
        <v>1612</v>
      </c>
      <c r="V232" t="s">
        <v>102</v>
      </c>
      <c r="W232" t="s">
        <v>101</v>
      </c>
      <c r="X232">
        <f>+VLOOKUP(O232,[1]DATA!$B$37:$AW$170,48,0)</f>
        <v>48788</v>
      </c>
    </row>
    <row r="233" spans="1:24" hidden="1">
      <c r="A233">
        <v>669725</v>
      </c>
      <c r="B233" t="s">
        <v>1613</v>
      </c>
      <c r="C233" t="s">
        <v>181</v>
      </c>
      <c r="D233" t="s">
        <v>182</v>
      </c>
      <c r="E233" t="s">
        <v>129</v>
      </c>
      <c r="F233" t="s">
        <v>185</v>
      </c>
      <c r="G233" s="56" t="s">
        <v>185</v>
      </c>
      <c r="H233" t="s">
        <v>184</v>
      </c>
      <c r="I233" t="s">
        <v>185</v>
      </c>
      <c r="J233" t="s">
        <v>185</v>
      </c>
      <c r="K233" t="s">
        <v>185</v>
      </c>
      <c r="L233" t="s">
        <v>185</v>
      </c>
      <c r="M233" t="s">
        <v>185</v>
      </c>
      <c r="N233" t="s">
        <v>1614</v>
      </c>
      <c r="O233">
        <v>554961</v>
      </c>
      <c r="P233" t="s">
        <v>1147</v>
      </c>
      <c r="Q233" t="s">
        <v>1615</v>
      </c>
      <c r="R233" t="s">
        <v>1616</v>
      </c>
      <c r="S233">
        <v>420353362811</v>
      </c>
      <c r="T233" t="s">
        <v>1617</v>
      </c>
      <c r="U233" t="s">
        <v>1618</v>
      </c>
      <c r="V233" t="s">
        <v>102</v>
      </c>
      <c r="W233" t="s">
        <v>101</v>
      </c>
      <c r="X233">
        <f>+VLOOKUP(O233,[1]DATA!$B$37:$AW$170,48,0)</f>
        <v>48788</v>
      </c>
    </row>
    <row r="234" spans="1:24" hidden="1">
      <c r="A234">
        <v>70845417</v>
      </c>
      <c r="B234" t="s">
        <v>1619</v>
      </c>
      <c r="C234" t="s">
        <v>181</v>
      </c>
      <c r="D234" t="s">
        <v>182</v>
      </c>
      <c r="E234" t="s">
        <v>129</v>
      </c>
      <c r="F234" t="s">
        <v>185</v>
      </c>
      <c r="G234" s="56" t="s">
        <v>185</v>
      </c>
      <c r="H234" t="s">
        <v>184</v>
      </c>
      <c r="I234" t="s">
        <v>185</v>
      </c>
      <c r="J234" t="s">
        <v>185</v>
      </c>
      <c r="K234" t="s">
        <v>185</v>
      </c>
      <c r="L234" t="s">
        <v>185</v>
      </c>
      <c r="M234" t="s">
        <v>185</v>
      </c>
      <c r="N234" t="s">
        <v>1620</v>
      </c>
      <c r="O234">
        <v>554961</v>
      </c>
      <c r="P234" t="s">
        <v>1147</v>
      </c>
      <c r="Q234" t="s">
        <v>1621</v>
      </c>
      <c r="R234" t="s">
        <v>1622</v>
      </c>
      <c r="S234">
        <v>420353501111</v>
      </c>
      <c r="T234" t="s">
        <v>1623</v>
      </c>
      <c r="U234" t="s">
        <v>1624</v>
      </c>
      <c r="V234" t="s">
        <v>102</v>
      </c>
      <c r="W234" t="s">
        <v>101</v>
      </c>
      <c r="X234">
        <f>+VLOOKUP(O234,[1]DATA!$B$37:$AW$170,48,0)</f>
        <v>48788</v>
      </c>
    </row>
    <row r="235" spans="1:24" hidden="1">
      <c r="A235">
        <v>49753843</v>
      </c>
      <c r="B235" t="s">
        <v>1625</v>
      </c>
      <c r="C235" t="s">
        <v>181</v>
      </c>
      <c r="D235" t="s">
        <v>182</v>
      </c>
      <c r="E235" t="s">
        <v>129</v>
      </c>
      <c r="F235" t="s">
        <v>185</v>
      </c>
      <c r="G235" s="56" t="s">
        <v>185</v>
      </c>
      <c r="H235" t="s">
        <v>185</v>
      </c>
      <c r="I235" t="s">
        <v>185</v>
      </c>
      <c r="J235" t="s">
        <v>185</v>
      </c>
      <c r="K235" t="s">
        <v>185</v>
      </c>
      <c r="L235" t="s">
        <v>185</v>
      </c>
      <c r="M235" t="s">
        <v>184</v>
      </c>
      <c r="N235" t="s">
        <v>1626</v>
      </c>
      <c r="O235">
        <v>554961</v>
      </c>
      <c r="P235" t="s">
        <v>1147</v>
      </c>
      <c r="Q235" t="s">
        <v>1627</v>
      </c>
      <c r="R235" t="s">
        <v>1628</v>
      </c>
      <c r="S235">
        <v>420353176511</v>
      </c>
      <c r="T235" t="s">
        <v>1629</v>
      </c>
      <c r="U235" t="s">
        <v>1630</v>
      </c>
      <c r="V235" t="s">
        <v>102</v>
      </c>
      <c r="W235" t="s">
        <v>101</v>
      </c>
      <c r="X235">
        <f>+VLOOKUP(O235,[1]DATA!$B$37:$AW$170,48,0)</f>
        <v>48788</v>
      </c>
    </row>
    <row r="236" spans="1:24" hidden="1">
      <c r="A236">
        <v>76988</v>
      </c>
      <c r="B236" t="s">
        <v>1631</v>
      </c>
      <c r="C236" t="s">
        <v>181</v>
      </c>
      <c r="D236" t="s">
        <v>182</v>
      </c>
      <c r="E236" t="s">
        <v>129</v>
      </c>
      <c r="F236" t="s">
        <v>185</v>
      </c>
      <c r="G236" s="56" t="s">
        <v>185</v>
      </c>
      <c r="H236" t="s">
        <v>185</v>
      </c>
      <c r="I236" t="s">
        <v>185</v>
      </c>
      <c r="J236" t="s">
        <v>185</v>
      </c>
      <c r="K236" t="s">
        <v>185</v>
      </c>
      <c r="L236" t="s">
        <v>185</v>
      </c>
      <c r="M236" t="s">
        <v>184</v>
      </c>
      <c r="N236" t="s">
        <v>1626</v>
      </c>
      <c r="O236">
        <v>554961</v>
      </c>
      <c r="P236" t="s">
        <v>1147</v>
      </c>
      <c r="Q236" t="s">
        <v>1632</v>
      </c>
      <c r="R236" t="s">
        <v>1633</v>
      </c>
      <c r="S236">
        <v>420354224411</v>
      </c>
      <c r="T236" t="s">
        <v>1634</v>
      </c>
      <c r="U236" t="s">
        <v>1635</v>
      </c>
      <c r="V236" t="s">
        <v>102</v>
      </c>
      <c r="W236" t="s">
        <v>101</v>
      </c>
      <c r="X236">
        <f>+VLOOKUP(O236,[1]DATA!$B$37:$AW$170,48,0)</f>
        <v>48788</v>
      </c>
    </row>
    <row r="237" spans="1:24" hidden="1">
      <c r="A237">
        <v>19338716</v>
      </c>
      <c r="B237" t="s">
        <v>1636</v>
      </c>
      <c r="C237" t="s">
        <v>181</v>
      </c>
      <c r="D237" t="s">
        <v>182</v>
      </c>
      <c r="E237" t="s">
        <v>129</v>
      </c>
      <c r="F237" t="s">
        <v>185</v>
      </c>
      <c r="G237" s="56" t="s">
        <v>185</v>
      </c>
      <c r="H237" t="s">
        <v>185</v>
      </c>
      <c r="I237" t="s">
        <v>185</v>
      </c>
      <c r="J237" t="s">
        <v>185</v>
      </c>
      <c r="K237" t="s">
        <v>185</v>
      </c>
      <c r="L237" t="s">
        <v>185</v>
      </c>
      <c r="M237" t="s">
        <v>184</v>
      </c>
      <c r="N237" t="s">
        <v>1626</v>
      </c>
      <c r="O237">
        <v>554961</v>
      </c>
      <c r="P237" t="s">
        <v>1147</v>
      </c>
      <c r="Q237" t="s">
        <v>1637</v>
      </c>
      <c r="R237" t="s">
        <v>1638</v>
      </c>
      <c r="S237">
        <v>420776781180</v>
      </c>
      <c r="T237" t="s">
        <v>1639</v>
      </c>
      <c r="U237" t="s">
        <v>1640</v>
      </c>
      <c r="V237" t="s">
        <v>102</v>
      </c>
      <c r="W237" t="s">
        <v>101</v>
      </c>
      <c r="X237">
        <f>+VLOOKUP(O237,[1]DATA!$B$37:$AW$170,48,0)</f>
        <v>48788</v>
      </c>
    </row>
    <row r="238" spans="1:24" hidden="1">
      <c r="A238">
        <v>49753789</v>
      </c>
      <c r="B238" t="s">
        <v>1641</v>
      </c>
      <c r="C238" t="s">
        <v>181</v>
      </c>
      <c r="D238" t="s">
        <v>182</v>
      </c>
      <c r="E238" t="s">
        <v>129</v>
      </c>
      <c r="F238" t="s">
        <v>185</v>
      </c>
      <c r="G238" s="56" t="s">
        <v>185</v>
      </c>
      <c r="H238" t="s">
        <v>184</v>
      </c>
      <c r="I238" t="s">
        <v>184</v>
      </c>
      <c r="J238" t="s">
        <v>185</v>
      </c>
      <c r="K238" t="s">
        <v>185</v>
      </c>
      <c r="L238" t="s">
        <v>185</v>
      </c>
      <c r="M238" t="s">
        <v>185</v>
      </c>
      <c r="N238" t="s">
        <v>1642</v>
      </c>
      <c r="O238">
        <v>554961</v>
      </c>
      <c r="P238" t="s">
        <v>1147</v>
      </c>
      <c r="Q238" t="s">
        <v>1643</v>
      </c>
      <c r="R238" t="s">
        <v>1644</v>
      </c>
      <c r="S238">
        <v>420354224711</v>
      </c>
      <c r="T238" t="s">
        <v>1645</v>
      </c>
      <c r="U238" t="s">
        <v>1646</v>
      </c>
      <c r="V238" t="s">
        <v>102</v>
      </c>
      <c r="W238" t="s">
        <v>101</v>
      </c>
      <c r="X238">
        <f>+VLOOKUP(O238,[1]DATA!$B$37:$AW$170,48,0)</f>
        <v>48788</v>
      </c>
    </row>
    <row r="239" spans="1:24" hidden="1">
      <c r="A239">
        <v>574384</v>
      </c>
      <c r="B239" t="s">
        <v>1647</v>
      </c>
      <c r="C239" t="s">
        <v>181</v>
      </c>
      <c r="D239" t="s">
        <v>182</v>
      </c>
      <c r="E239" t="s">
        <v>129</v>
      </c>
      <c r="F239" t="s">
        <v>185</v>
      </c>
      <c r="G239" s="56" t="s">
        <v>185</v>
      </c>
      <c r="H239" t="s">
        <v>184</v>
      </c>
      <c r="I239" t="s">
        <v>185</v>
      </c>
      <c r="J239" t="s">
        <v>185</v>
      </c>
      <c r="K239" t="s">
        <v>185</v>
      </c>
      <c r="L239" t="s">
        <v>185</v>
      </c>
      <c r="M239" t="s">
        <v>185</v>
      </c>
      <c r="N239" t="s">
        <v>1648</v>
      </c>
      <c r="O239">
        <v>537918</v>
      </c>
      <c r="P239" t="s">
        <v>1291</v>
      </c>
      <c r="Q239" t="s">
        <v>1649</v>
      </c>
      <c r="R239" t="s">
        <v>1650</v>
      </c>
      <c r="S239">
        <v>420353224830</v>
      </c>
      <c r="T239" t="s">
        <v>1651</v>
      </c>
      <c r="U239" t="s">
        <v>1652</v>
      </c>
      <c r="V239" t="s">
        <v>102</v>
      </c>
      <c r="W239" t="s">
        <v>101</v>
      </c>
      <c r="X239">
        <f>+VLOOKUP(O239,[1]DATA!$B$37:$AW$170,48,0)</f>
        <v>1992</v>
      </c>
    </row>
    <row r="240" spans="1:24" hidden="1">
      <c r="A240">
        <v>63553660</v>
      </c>
      <c r="B240" t="s">
        <v>1653</v>
      </c>
      <c r="C240" t="s">
        <v>181</v>
      </c>
      <c r="D240" t="s">
        <v>182</v>
      </c>
      <c r="E240" t="s">
        <v>129</v>
      </c>
      <c r="F240" t="s">
        <v>185</v>
      </c>
      <c r="G240" s="56" t="s">
        <v>185</v>
      </c>
      <c r="H240" t="s">
        <v>185</v>
      </c>
      <c r="I240" t="s">
        <v>185</v>
      </c>
      <c r="J240" t="s">
        <v>185</v>
      </c>
      <c r="K240" t="s">
        <v>185</v>
      </c>
      <c r="L240" t="s">
        <v>185</v>
      </c>
      <c r="M240" t="s">
        <v>184</v>
      </c>
      <c r="N240" t="s">
        <v>1654</v>
      </c>
      <c r="O240">
        <v>555428</v>
      </c>
      <c r="P240" t="s">
        <v>71</v>
      </c>
      <c r="Q240" t="s">
        <v>1655</v>
      </c>
      <c r="R240" t="s">
        <v>1656</v>
      </c>
      <c r="S240">
        <v>420353821875</v>
      </c>
      <c r="T240" t="s">
        <v>1657</v>
      </c>
      <c r="U240" t="s">
        <v>1658</v>
      </c>
      <c r="V240" t="s">
        <v>103</v>
      </c>
      <c r="W240" t="s">
        <v>101</v>
      </c>
      <c r="X240">
        <f>+VLOOKUP(O240,[1]DATA!$B$37:$AW$170,48,0)</f>
        <v>15615</v>
      </c>
    </row>
    <row r="241" spans="1:24">
      <c r="A241">
        <v>70839000</v>
      </c>
      <c r="B241" t="s">
        <v>114</v>
      </c>
      <c r="C241" t="s">
        <v>181</v>
      </c>
      <c r="D241" t="s">
        <v>182</v>
      </c>
      <c r="E241" t="s">
        <v>129</v>
      </c>
      <c r="F241" t="s">
        <v>185</v>
      </c>
      <c r="G241" s="55" t="s">
        <v>184</v>
      </c>
      <c r="H241" t="s">
        <v>185</v>
      </c>
      <c r="I241" t="s">
        <v>185</v>
      </c>
      <c r="J241" t="s">
        <v>185</v>
      </c>
      <c r="K241" t="s">
        <v>185</v>
      </c>
      <c r="L241" t="s">
        <v>185</v>
      </c>
      <c r="M241" t="s">
        <v>185</v>
      </c>
      <c r="N241" t="s">
        <v>1659</v>
      </c>
      <c r="O241">
        <v>555428</v>
      </c>
      <c r="P241" t="s">
        <v>71</v>
      </c>
      <c r="Q241" t="s">
        <v>1660</v>
      </c>
      <c r="R241" t="s">
        <v>1661</v>
      </c>
      <c r="S241">
        <v>420739329109</v>
      </c>
      <c r="T241" t="s">
        <v>1662</v>
      </c>
      <c r="U241" t="s">
        <v>1663</v>
      </c>
      <c r="V241" t="s">
        <v>103</v>
      </c>
      <c r="W241" t="s">
        <v>101</v>
      </c>
      <c r="X241">
        <f>+VLOOKUP(O241,[1]DATA!$B$37:$AW$170,48,0)</f>
        <v>15615</v>
      </c>
    </row>
    <row r="242" spans="1:24" hidden="1">
      <c r="A242">
        <v>70845425</v>
      </c>
      <c r="B242" t="s">
        <v>1664</v>
      </c>
      <c r="C242" t="s">
        <v>181</v>
      </c>
      <c r="D242" t="s">
        <v>182</v>
      </c>
      <c r="E242" t="s">
        <v>129</v>
      </c>
      <c r="F242" t="s">
        <v>185</v>
      </c>
      <c r="G242" s="56" t="s">
        <v>185</v>
      </c>
      <c r="H242" t="s">
        <v>184</v>
      </c>
      <c r="I242" t="s">
        <v>185</v>
      </c>
      <c r="J242" t="s">
        <v>185</v>
      </c>
      <c r="K242" t="s">
        <v>185</v>
      </c>
      <c r="L242" t="s">
        <v>185</v>
      </c>
      <c r="M242" t="s">
        <v>185</v>
      </c>
      <c r="N242" t="s">
        <v>1665</v>
      </c>
      <c r="O242">
        <v>555428</v>
      </c>
      <c r="P242" t="s">
        <v>71</v>
      </c>
      <c r="Q242" t="s">
        <v>1666</v>
      </c>
      <c r="R242" t="s">
        <v>1667</v>
      </c>
      <c r="S242">
        <v>420353416400</v>
      </c>
      <c r="T242" t="s">
        <v>1668</v>
      </c>
      <c r="U242" t="s">
        <v>1669</v>
      </c>
      <c r="V242" t="s">
        <v>103</v>
      </c>
      <c r="W242" t="s">
        <v>101</v>
      </c>
      <c r="X242">
        <f>+VLOOKUP(O242,[1]DATA!$B$37:$AW$170,48,0)</f>
        <v>15615</v>
      </c>
    </row>
    <row r="243" spans="1:24" hidden="1">
      <c r="A243">
        <v>49753771</v>
      </c>
      <c r="B243" t="s">
        <v>1670</v>
      </c>
      <c r="C243" t="s">
        <v>181</v>
      </c>
      <c r="D243" t="s">
        <v>182</v>
      </c>
      <c r="E243" t="s">
        <v>129</v>
      </c>
      <c r="F243" t="s">
        <v>185</v>
      </c>
      <c r="G243" s="56" t="s">
        <v>185</v>
      </c>
      <c r="H243" t="s">
        <v>184</v>
      </c>
      <c r="I243" t="s">
        <v>185</v>
      </c>
      <c r="J243" t="s">
        <v>185</v>
      </c>
      <c r="K243" t="s">
        <v>185</v>
      </c>
      <c r="L243" t="s">
        <v>185</v>
      </c>
      <c r="M243" t="s">
        <v>185</v>
      </c>
      <c r="N243" t="s">
        <v>1671</v>
      </c>
      <c r="O243">
        <v>555428</v>
      </c>
      <c r="P243" t="s">
        <v>71</v>
      </c>
      <c r="Q243" t="s">
        <v>1672</v>
      </c>
      <c r="R243" t="s">
        <v>1673</v>
      </c>
      <c r="S243">
        <v>420353433761</v>
      </c>
      <c r="T243" t="s">
        <v>1674</v>
      </c>
      <c r="U243" t="s">
        <v>1675</v>
      </c>
      <c r="V243" t="s">
        <v>103</v>
      </c>
      <c r="W243" t="s">
        <v>101</v>
      </c>
      <c r="X243">
        <f>+VLOOKUP(O243,[1]DATA!$B$37:$AW$170,48,0)</f>
        <v>15615</v>
      </c>
    </row>
    <row r="244" spans="1:24" hidden="1">
      <c r="A244">
        <v>49754050</v>
      </c>
      <c r="B244" t="s">
        <v>1676</v>
      </c>
      <c r="C244" t="s">
        <v>181</v>
      </c>
      <c r="D244" t="s">
        <v>182</v>
      </c>
      <c r="E244" t="s">
        <v>129</v>
      </c>
      <c r="F244" t="s">
        <v>185</v>
      </c>
      <c r="G244" s="56" t="s">
        <v>185</v>
      </c>
      <c r="H244" t="s">
        <v>184</v>
      </c>
      <c r="I244" t="s">
        <v>185</v>
      </c>
      <c r="J244" t="s">
        <v>185</v>
      </c>
      <c r="K244" t="s">
        <v>185</v>
      </c>
      <c r="L244" t="s">
        <v>185</v>
      </c>
      <c r="M244" t="s">
        <v>185</v>
      </c>
      <c r="N244" t="s">
        <v>1677</v>
      </c>
      <c r="O244">
        <v>555762</v>
      </c>
      <c r="P244" t="s">
        <v>1461</v>
      </c>
      <c r="Q244" t="s">
        <v>1678</v>
      </c>
      <c r="R244" t="s">
        <v>1679</v>
      </c>
      <c r="S244">
        <v>420353393167</v>
      </c>
      <c r="T244" t="s">
        <v>1680</v>
      </c>
      <c r="U244" t="s">
        <v>1681</v>
      </c>
      <c r="V244" t="s">
        <v>102</v>
      </c>
      <c r="W244" t="s">
        <v>101</v>
      </c>
      <c r="X244">
        <f>+VLOOKUP(O244,[1]DATA!$B$37:$AW$170,48,0)</f>
        <v>2153</v>
      </c>
    </row>
    <row r="245" spans="1:24">
      <c r="A245">
        <v>70845433</v>
      </c>
      <c r="B245" t="s">
        <v>1682</v>
      </c>
      <c r="C245" t="s">
        <v>181</v>
      </c>
      <c r="D245" t="s">
        <v>1683</v>
      </c>
      <c r="E245" t="s">
        <v>1684</v>
      </c>
      <c r="F245" t="s">
        <v>185</v>
      </c>
      <c r="G245" s="55" t="s">
        <v>184</v>
      </c>
      <c r="H245" t="s">
        <v>185</v>
      </c>
      <c r="I245" t="s">
        <v>185</v>
      </c>
      <c r="J245" t="s">
        <v>185</v>
      </c>
      <c r="K245" t="s">
        <v>185</v>
      </c>
      <c r="L245" t="s">
        <v>185</v>
      </c>
      <c r="M245" t="s">
        <v>184</v>
      </c>
      <c r="N245" t="s">
        <v>1685</v>
      </c>
      <c r="O245">
        <v>555762</v>
      </c>
      <c r="P245" t="s">
        <v>1461</v>
      </c>
      <c r="Q245" t="s">
        <v>1686</v>
      </c>
      <c r="R245" t="s">
        <v>1687</v>
      </c>
      <c r="S245">
        <v>420606889724</v>
      </c>
      <c r="T245" t="s">
        <v>1688</v>
      </c>
      <c r="U245" t="s">
        <v>1689</v>
      </c>
      <c r="V245" t="s">
        <v>102</v>
      </c>
      <c r="W245" t="s">
        <v>101</v>
      </c>
      <c r="X245">
        <f>+VLOOKUP(O245,[1]DATA!$B$37:$AW$170,48,0)</f>
        <v>2153</v>
      </c>
    </row>
    <row r="246" spans="1:24" hidden="1">
      <c r="A246">
        <v>4720997</v>
      </c>
      <c r="B246" t="s">
        <v>1690</v>
      </c>
      <c r="C246" t="s">
        <v>1691</v>
      </c>
      <c r="D246" t="s">
        <v>1683</v>
      </c>
      <c r="E246" t="s">
        <v>1684</v>
      </c>
      <c r="F246" t="s">
        <v>185</v>
      </c>
      <c r="G246" s="56" t="s">
        <v>185</v>
      </c>
      <c r="H246" t="s">
        <v>184</v>
      </c>
      <c r="I246" t="s">
        <v>185</v>
      </c>
      <c r="J246" t="s">
        <v>185</v>
      </c>
      <c r="K246" t="s">
        <v>185</v>
      </c>
      <c r="L246" t="s">
        <v>185</v>
      </c>
      <c r="M246" t="s">
        <v>185</v>
      </c>
      <c r="N246" t="s">
        <v>1692</v>
      </c>
      <c r="O246">
        <v>554499</v>
      </c>
      <c r="P246" t="s">
        <v>66</v>
      </c>
      <c r="Q246" t="s">
        <v>1693</v>
      </c>
      <c r="R246" t="s">
        <v>1694</v>
      </c>
      <c r="S246">
        <v>420357070652</v>
      </c>
      <c r="T246" t="s">
        <v>1695</v>
      </c>
      <c r="U246" t="s">
        <v>1696</v>
      </c>
      <c r="V246" t="s">
        <v>98</v>
      </c>
      <c r="W246" t="s">
        <v>97</v>
      </c>
      <c r="X246">
        <f>+VLOOKUP(O246,[1]DATA!$B$37:$AW$170,48,0)</f>
        <v>12683</v>
      </c>
    </row>
    <row r="247" spans="1:24">
      <c r="A247">
        <v>18033318</v>
      </c>
      <c r="B247" t="s">
        <v>1697</v>
      </c>
      <c r="C247" t="s">
        <v>1691</v>
      </c>
      <c r="D247" t="s">
        <v>1683</v>
      </c>
      <c r="E247" t="s">
        <v>1684</v>
      </c>
      <c r="F247" t="s">
        <v>185</v>
      </c>
      <c r="G247" s="55" t="s">
        <v>184</v>
      </c>
      <c r="H247" t="s">
        <v>185</v>
      </c>
      <c r="I247" t="s">
        <v>185</v>
      </c>
      <c r="J247" t="s">
        <v>185</v>
      </c>
      <c r="K247" t="s">
        <v>185</v>
      </c>
      <c r="L247" t="s">
        <v>185</v>
      </c>
      <c r="M247" t="s">
        <v>185</v>
      </c>
      <c r="N247" t="s">
        <v>1494</v>
      </c>
      <c r="O247">
        <v>554499</v>
      </c>
      <c r="P247" t="s">
        <v>66</v>
      </c>
      <c r="Q247" t="s">
        <v>1698</v>
      </c>
      <c r="R247" t="s">
        <v>1699</v>
      </c>
      <c r="S247">
        <v>420731885106</v>
      </c>
      <c r="T247" t="s">
        <v>1700</v>
      </c>
      <c r="U247" t="s">
        <v>1701</v>
      </c>
      <c r="V247" t="s">
        <v>98</v>
      </c>
      <c r="W247" t="s">
        <v>97</v>
      </c>
      <c r="X247">
        <f>+VLOOKUP(O247,[1]DATA!$B$37:$AW$170,48,0)</f>
        <v>12683</v>
      </c>
    </row>
    <row r="248" spans="1:24" hidden="1">
      <c r="A248">
        <v>10717781</v>
      </c>
      <c r="B248" t="s">
        <v>1702</v>
      </c>
      <c r="C248" t="s">
        <v>1703</v>
      </c>
      <c r="D248" t="s">
        <v>1683</v>
      </c>
      <c r="E248" t="s">
        <v>1684</v>
      </c>
      <c r="F248" t="s">
        <v>184</v>
      </c>
      <c r="G248" s="56" t="s">
        <v>185</v>
      </c>
      <c r="H248" t="s">
        <v>185</v>
      </c>
      <c r="I248" t="s">
        <v>185</v>
      </c>
      <c r="J248" t="s">
        <v>185</v>
      </c>
      <c r="K248" t="s">
        <v>185</v>
      </c>
      <c r="L248" t="s">
        <v>185</v>
      </c>
      <c r="M248" t="s">
        <v>185</v>
      </c>
      <c r="N248" t="s">
        <v>1704</v>
      </c>
      <c r="O248">
        <v>554481</v>
      </c>
      <c r="P248" t="s">
        <v>67</v>
      </c>
      <c r="Q248" t="s">
        <v>1705</v>
      </c>
      <c r="R248" t="s">
        <v>1706</v>
      </c>
      <c r="S248">
        <v>420775372830</v>
      </c>
      <c r="T248" t="s">
        <v>1707</v>
      </c>
      <c r="U248" t="s">
        <v>1708</v>
      </c>
      <c r="V248" t="s">
        <v>99</v>
      </c>
      <c r="W248" t="s">
        <v>97</v>
      </c>
      <c r="X248">
        <f>+VLOOKUP(O248,[1]DATA!$B$37:$AW$170,48,0)</f>
        <v>32892</v>
      </c>
    </row>
    <row r="249" spans="1:24">
      <c r="A249">
        <v>11689307</v>
      </c>
      <c r="B249" t="s">
        <v>1709</v>
      </c>
      <c r="C249" t="s">
        <v>1691</v>
      </c>
      <c r="D249" t="s">
        <v>1683</v>
      </c>
      <c r="E249" t="s">
        <v>1684</v>
      </c>
      <c r="F249" t="s">
        <v>184</v>
      </c>
      <c r="G249" s="55" t="s">
        <v>184</v>
      </c>
      <c r="H249" t="s">
        <v>185</v>
      </c>
      <c r="I249" t="s">
        <v>185</v>
      </c>
      <c r="J249" t="s">
        <v>185</v>
      </c>
      <c r="K249" t="s">
        <v>185</v>
      </c>
      <c r="L249" t="s">
        <v>185</v>
      </c>
      <c r="M249" t="s">
        <v>185</v>
      </c>
      <c r="N249" t="s">
        <v>1710</v>
      </c>
      <c r="O249">
        <v>554481</v>
      </c>
      <c r="P249" t="s">
        <v>67</v>
      </c>
      <c r="Q249" t="s">
        <v>1711</v>
      </c>
      <c r="R249" t="s">
        <v>1712</v>
      </c>
      <c r="S249">
        <v>420724369859</v>
      </c>
      <c r="T249" t="s">
        <v>1713</v>
      </c>
      <c r="U249" t="s">
        <v>1714</v>
      </c>
      <c r="V249" t="s">
        <v>99</v>
      </c>
      <c r="W249" t="s">
        <v>97</v>
      </c>
      <c r="X249">
        <f>+VLOOKUP(O249,[1]DATA!$B$37:$AW$170,48,0)</f>
        <v>32892</v>
      </c>
    </row>
    <row r="250" spans="1:24">
      <c r="A250">
        <v>25249355</v>
      </c>
      <c r="B250" t="s">
        <v>1715</v>
      </c>
      <c r="C250" t="s">
        <v>1716</v>
      </c>
      <c r="D250" t="s">
        <v>1683</v>
      </c>
      <c r="E250" t="s">
        <v>1684</v>
      </c>
      <c r="F250" t="s">
        <v>185</v>
      </c>
      <c r="G250" s="55" t="s">
        <v>184</v>
      </c>
      <c r="H250" t="s">
        <v>184</v>
      </c>
      <c r="I250" t="s">
        <v>185</v>
      </c>
      <c r="J250" t="s">
        <v>185</v>
      </c>
      <c r="K250" t="s">
        <v>185</v>
      </c>
      <c r="L250" t="s">
        <v>185</v>
      </c>
      <c r="M250" t="s">
        <v>185</v>
      </c>
      <c r="N250" t="s">
        <v>1717</v>
      </c>
      <c r="O250">
        <v>554481</v>
      </c>
      <c r="P250" t="s">
        <v>67</v>
      </c>
      <c r="Q250" t="s">
        <v>1718</v>
      </c>
      <c r="R250" t="s">
        <v>1719</v>
      </c>
      <c r="S250">
        <v>420354430301</v>
      </c>
      <c r="T250" t="s">
        <v>1720</v>
      </c>
      <c r="U250" t="s">
        <v>1721</v>
      </c>
      <c r="V250" t="s">
        <v>99</v>
      </c>
      <c r="W250" t="s">
        <v>97</v>
      </c>
      <c r="X250">
        <f>+VLOOKUP(O250,[1]DATA!$B$37:$AW$170,48,0)</f>
        <v>32892</v>
      </c>
    </row>
    <row r="251" spans="1:24" hidden="1">
      <c r="A251">
        <v>3632504</v>
      </c>
      <c r="B251" t="s">
        <v>1722</v>
      </c>
      <c r="C251" t="s">
        <v>1691</v>
      </c>
      <c r="D251" t="s">
        <v>1683</v>
      </c>
      <c r="E251" t="s">
        <v>1684</v>
      </c>
      <c r="F251" t="s">
        <v>184</v>
      </c>
      <c r="G251" s="56" t="s">
        <v>185</v>
      </c>
      <c r="H251" t="s">
        <v>185</v>
      </c>
      <c r="I251" t="s">
        <v>185</v>
      </c>
      <c r="J251" t="s">
        <v>185</v>
      </c>
      <c r="K251" t="s">
        <v>185</v>
      </c>
      <c r="L251" t="s">
        <v>185</v>
      </c>
      <c r="M251" t="s">
        <v>185</v>
      </c>
      <c r="N251" t="s">
        <v>1723</v>
      </c>
      <c r="O251">
        <v>554481</v>
      </c>
      <c r="P251" t="s">
        <v>67</v>
      </c>
      <c r="Q251" t="s">
        <v>1724</v>
      </c>
      <c r="R251" t="s">
        <v>1725</v>
      </c>
      <c r="S251">
        <v>420737207495</v>
      </c>
      <c r="T251" t="s">
        <v>1726</v>
      </c>
      <c r="U251" t="s">
        <v>1727</v>
      </c>
      <c r="V251" t="s">
        <v>99</v>
      </c>
      <c r="W251" t="s">
        <v>97</v>
      </c>
      <c r="X251">
        <f>+VLOOKUP(O251,[1]DATA!$B$37:$AW$170,48,0)</f>
        <v>32892</v>
      </c>
    </row>
    <row r="252" spans="1:24" hidden="1">
      <c r="A252">
        <v>48135453</v>
      </c>
      <c r="B252" t="s">
        <v>1728</v>
      </c>
      <c r="C252" t="s">
        <v>1729</v>
      </c>
      <c r="D252" t="s">
        <v>182</v>
      </c>
      <c r="E252" t="s">
        <v>1730</v>
      </c>
      <c r="F252" t="s">
        <v>185</v>
      </c>
      <c r="G252" s="56" t="s">
        <v>185</v>
      </c>
      <c r="H252" t="s">
        <v>184</v>
      </c>
      <c r="I252" t="s">
        <v>185</v>
      </c>
      <c r="J252" t="s">
        <v>185</v>
      </c>
      <c r="K252" t="s">
        <v>185</v>
      </c>
      <c r="L252" t="s">
        <v>185</v>
      </c>
      <c r="M252" t="s">
        <v>185</v>
      </c>
      <c r="N252" t="s">
        <v>1731</v>
      </c>
      <c r="O252">
        <v>560286</v>
      </c>
      <c r="P252" t="s">
        <v>72</v>
      </c>
      <c r="Q252" t="s">
        <v>1732</v>
      </c>
      <c r="R252" t="s">
        <v>1733</v>
      </c>
      <c r="S252">
        <v>420234145200</v>
      </c>
      <c r="T252" t="s">
        <v>1734</v>
      </c>
      <c r="U252" t="s">
        <v>1735</v>
      </c>
      <c r="V252" t="s">
        <v>106</v>
      </c>
      <c r="W252" t="s">
        <v>104</v>
      </c>
      <c r="X252">
        <f>+VLOOKUP(O252,[1]DATA!$B$37:$AW$170,48,0)</f>
        <v>21908</v>
      </c>
    </row>
    <row r="253" spans="1:24">
      <c r="A253">
        <v>21640262</v>
      </c>
      <c r="B253" t="s">
        <v>1736</v>
      </c>
      <c r="C253" t="s">
        <v>1691</v>
      </c>
      <c r="D253" t="s">
        <v>1683</v>
      </c>
      <c r="E253" t="s">
        <v>1684</v>
      </c>
      <c r="F253" t="s">
        <v>185</v>
      </c>
      <c r="G253" s="55" t="s">
        <v>184</v>
      </c>
      <c r="H253" t="s">
        <v>185</v>
      </c>
      <c r="I253" t="s">
        <v>185</v>
      </c>
      <c r="J253" t="s">
        <v>185</v>
      </c>
      <c r="K253" t="s">
        <v>185</v>
      </c>
      <c r="L253" t="s">
        <v>185</v>
      </c>
      <c r="M253" t="s">
        <v>185</v>
      </c>
      <c r="N253" t="s">
        <v>1737</v>
      </c>
      <c r="O253">
        <v>560286</v>
      </c>
      <c r="P253" t="s">
        <v>72</v>
      </c>
      <c r="Q253" t="s">
        <v>1738</v>
      </c>
      <c r="R253" t="s">
        <v>1739</v>
      </c>
      <c r="S253">
        <v>420776860910</v>
      </c>
      <c r="T253" t="s">
        <v>1740</v>
      </c>
      <c r="U253" t="s">
        <v>1741</v>
      </c>
      <c r="V253" t="s">
        <v>106</v>
      </c>
      <c r="W253" t="s">
        <v>104</v>
      </c>
      <c r="X253">
        <f>+VLOOKUP(O253,[1]DATA!$B$37:$AW$170,48,0)</f>
        <v>21908</v>
      </c>
    </row>
    <row r="254" spans="1:24" hidden="1">
      <c r="A254">
        <v>28002512</v>
      </c>
      <c r="B254" t="s">
        <v>1742</v>
      </c>
      <c r="C254" t="s">
        <v>1716</v>
      </c>
      <c r="D254" t="s">
        <v>1683</v>
      </c>
      <c r="E254" t="s">
        <v>1684</v>
      </c>
      <c r="F254" t="s">
        <v>185</v>
      </c>
      <c r="G254" s="56" t="s">
        <v>185</v>
      </c>
      <c r="H254" t="s">
        <v>185</v>
      </c>
      <c r="I254" t="s">
        <v>185</v>
      </c>
      <c r="J254" t="s">
        <v>185</v>
      </c>
      <c r="K254" t="s">
        <v>185</v>
      </c>
      <c r="L254" t="s">
        <v>185</v>
      </c>
      <c r="M254" t="s">
        <v>184</v>
      </c>
      <c r="N254" t="s">
        <v>1743</v>
      </c>
      <c r="O254">
        <v>560286</v>
      </c>
      <c r="P254" t="s">
        <v>72</v>
      </c>
      <c r="Q254" t="s">
        <v>1744</v>
      </c>
      <c r="R254" t="s">
        <v>1745</v>
      </c>
      <c r="S254">
        <v>420352466216</v>
      </c>
      <c r="T254" t="s">
        <v>1746</v>
      </c>
      <c r="U254" t="s">
        <v>1747</v>
      </c>
      <c r="V254" t="s">
        <v>106</v>
      </c>
      <c r="W254" t="s">
        <v>104</v>
      </c>
      <c r="X254">
        <f>+VLOOKUP(O254,[1]DATA!$B$37:$AW$170,48,0)</f>
        <v>21908</v>
      </c>
    </row>
    <row r="255" spans="1:24" hidden="1">
      <c r="A255">
        <v>60162694</v>
      </c>
      <c r="B255" t="s">
        <v>1748</v>
      </c>
      <c r="C255" t="s">
        <v>1729</v>
      </c>
      <c r="D255" t="s">
        <v>182</v>
      </c>
      <c r="E255" t="s">
        <v>1730</v>
      </c>
      <c r="F255" t="s">
        <v>185</v>
      </c>
      <c r="G255" s="56" t="s">
        <v>185</v>
      </c>
      <c r="H255" t="s">
        <v>184</v>
      </c>
      <c r="I255" t="s">
        <v>185</v>
      </c>
      <c r="J255" t="s">
        <v>185</v>
      </c>
      <c r="K255" t="s">
        <v>185</v>
      </c>
      <c r="L255" t="s">
        <v>185</v>
      </c>
      <c r="M255" t="s">
        <v>185</v>
      </c>
      <c r="N255" t="s">
        <v>1542</v>
      </c>
      <c r="O255">
        <v>560286</v>
      </c>
      <c r="P255" t="s">
        <v>72</v>
      </c>
      <c r="Q255" t="s">
        <v>1749</v>
      </c>
      <c r="R255" t="s">
        <v>1750</v>
      </c>
      <c r="S255">
        <v>420973274201</v>
      </c>
      <c r="T255" t="s">
        <v>1751</v>
      </c>
      <c r="U255" t="s">
        <v>1752</v>
      </c>
      <c r="V255" t="s">
        <v>106</v>
      </c>
      <c r="W255" t="s">
        <v>104</v>
      </c>
      <c r="X255">
        <f>+VLOOKUP(O255,[1]DATA!$B$37:$AW$170,48,0)</f>
        <v>21908</v>
      </c>
    </row>
    <row r="256" spans="1:24" hidden="1">
      <c r="A256">
        <v>49790820</v>
      </c>
      <c r="B256" t="s">
        <v>1753</v>
      </c>
      <c r="C256" t="s">
        <v>1716</v>
      </c>
      <c r="D256" t="s">
        <v>1683</v>
      </c>
      <c r="E256" t="s">
        <v>1684</v>
      </c>
      <c r="F256" t="s">
        <v>185</v>
      </c>
      <c r="G256" s="56" t="s">
        <v>185</v>
      </c>
      <c r="H256" t="s">
        <v>184</v>
      </c>
      <c r="I256" t="s">
        <v>185</v>
      </c>
      <c r="J256" t="s">
        <v>185</v>
      </c>
      <c r="K256" t="s">
        <v>185</v>
      </c>
      <c r="L256" t="s">
        <v>185</v>
      </c>
      <c r="M256" t="s">
        <v>185</v>
      </c>
      <c r="N256" t="s">
        <v>1754</v>
      </c>
      <c r="O256">
        <v>560286</v>
      </c>
      <c r="P256" t="s">
        <v>72</v>
      </c>
      <c r="Q256" t="s">
        <v>1755</v>
      </c>
      <c r="R256" t="s">
        <v>1756</v>
      </c>
      <c r="S256">
        <v>420352628728</v>
      </c>
      <c r="T256" t="s">
        <v>1757</v>
      </c>
      <c r="U256" t="s">
        <v>1758</v>
      </c>
      <c r="V256" t="s">
        <v>106</v>
      </c>
      <c r="W256" t="s">
        <v>104</v>
      </c>
      <c r="X256">
        <f>+VLOOKUP(O256,[1]DATA!$B$37:$AW$170,48,0)</f>
        <v>21908</v>
      </c>
    </row>
    <row r="257" spans="1:24">
      <c r="A257">
        <v>2881888</v>
      </c>
      <c r="B257" t="s">
        <v>1759</v>
      </c>
      <c r="C257" t="s">
        <v>1716</v>
      </c>
      <c r="D257" t="s">
        <v>1683</v>
      </c>
      <c r="E257" t="s">
        <v>1684</v>
      </c>
      <c r="F257" t="s">
        <v>185</v>
      </c>
      <c r="G257" s="55" t="s">
        <v>184</v>
      </c>
      <c r="H257" t="s">
        <v>185</v>
      </c>
      <c r="I257" t="s">
        <v>185</v>
      </c>
      <c r="J257" t="s">
        <v>185</v>
      </c>
      <c r="K257" t="s">
        <v>185</v>
      </c>
      <c r="L257" t="s">
        <v>185</v>
      </c>
      <c r="M257" t="s">
        <v>185</v>
      </c>
      <c r="N257" t="s">
        <v>1760</v>
      </c>
      <c r="O257">
        <v>560286</v>
      </c>
      <c r="P257" t="s">
        <v>72</v>
      </c>
      <c r="Q257" t="s">
        <v>1761</v>
      </c>
      <c r="R257" t="s">
        <v>1762</v>
      </c>
      <c r="S257">
        <v>420602664665</v>
      </c>
      <c r="T257" t="s">
        <v>1763</v>
      </c>
      <c r="U257" t="s">
        <v>1764</v>
      </c>
      <c r="V257" t="s">
        <v>106</v>
      </c>
      <c r="W257" t="s">
        <v>104</v>
      </c>
      <c r="X257">
        <f>+VLOOKUP(O257,[1]DATA!$B$37:$AW$170,48,0)</f>
        <v>21908</v>
      </c>
    </row>
    <row r="258" spans="1:24">
      <c r="A258">
        <v>25232991</v>
      </c>
      <c r="B258" t="s">
        <v>1765</v>
      </c>
      <c r="C258" t="s">
        <v>1716</v>
      </c>
      <c r="D258" t="s">
        <v>1683</v>
      </c>
      <c r="E258" t="s">
        <v>1684</v>
      </c>
      <c r="F258" t="s">
        <v>184</v>
      </c>
      <c r="G258" s="55" t="s">
        <v>184</v>
      </c>
      <c r="H258" t="s">
        <v>184</v>
      </c>
      <c r="I258" t="s">
        <v>185</v>
      </c>
      <c r="J258" t="s">
        <v>185</v>
      </c>
      <c r="K258" t="s">
        <v>185</v>
      </c>
      <c r="L258" t="s">
        <v>185</v>
      </c>
      <c r="M258" t="s">
        <v>185</v>
      </c>
      <c r="N258" t="s">
        <v>1760</v>
      </c>
      <c r="O258">
        <v>560286</v>
      </c>
      <c r="P258" t="s">
        <v>72</v>
      </c>
      <c r="Q258" t="s">
        <v>1766</v>
      </c>
      <c r="R258" t="s">
        <v>1767</v>
      </c>
      <c r="S258">
        <v>420359807052</v>
      </c>
      <c r="T258" t="s">
        <v>1768</v>
      </c>
      <c r="U258" t="s">
        <v>1769</v>
      </c>
      <c r="V258" t="s">
        <v>106</v>
      </c>
      <c r="W258" t="s">
        <v>104</v>
      </c>
      <c r="X258">
        <f>+VLOOKUP(O258,[1]DATA!$B$37:$AW$170,48,0)</f>
        <v>21908</v>
      </c>
    </row>
    <row r="259" spans="1:24" hidden="1">
      <c r="A259">
        <v>25220284</v>
      </c>
      <c r="B259" t="s">
        <v>1770</v>
      </c>
      <c r="C259" t="s">
        <v>1771</v>
      </c>
      <c r="D259" t="s">
        <v>1683</v>
      </c>
      <c r="E259" t="s">
        <v>1684</v>
      </c>
      <c r="F259" t="s">
        <v>184</v>
      </c>
      <c r="G259" s="56" t="s">
        <v>185</v>
      </c>
      <c r="H259" t="s">
        <v>185</v>
      </c>
      <c r="I259" t="s">
        <v>185</v>
      </c>
      <c r="J259" t="s">
        <v>185</v>
      </c>
      <c r="K259" t="s">
        <v>185</v>
      </c>
      <c r="L259" t="s">
        <v>185</v>
      </c>
      <c r="M259" t="s">
        <v>185</v>
      </c>
      <c r="N259" t="s">
        <v>1772</v>
      </c>
      <c r="O259">
        <v>554642</v>
      </c>
      <c r="P259" t="s">
        <v>847</v>
      </c>
      <c r="Q259" t="s">
        <v>1773</v>
      </c>
      <c r="R259" t="s">
        <v>1774</v>
      </c>
      <c r="S259">
        <v>420724274946</v>
      </c>
      <c r="T259" t="s">
        <v>1775</v>
      </c>
      <c r="U259" t="s">
        <v>1776</v>
      </c>
      <c r="V259" t="s">
        <v>100</v>
      </c>
      <c r="W259" t="s">
        <v>97</v>
      </c>
      <c r="X259">
        <f>+VLOOKUP(O259,[1]DATA!$B$37:$AW$170,48,0)</f>
        <v>13921</v>
      </c>
    </row>
    <row r="260" spans="1:24">
      <c r="A260">
        <v>1407104</v>
      </c>
      <c r="B260" t="s">
        <v>1777</v>
      </c>
      <c r="C260" t="s">
        <v>1691</v>
      </c>
      <c r="D260" t="s">
        <v>1683</v>
      </c>
      <c r="E260" t="s">
        <v>1684</v>
      </c>
      <c r="F260" t="s">
        <v>184</v>
      </c>
      <c r="G260" s="55" t="s">
        <v>184</v>
      </c>
      <c r="H260" t="s">
        <v>185</v>
      </c>
      <c r="I260" t="s">
        <v>185</v>
      </c>
      <c r="J260" t="s">
        <v>185</v>
      </c>
      <c r="K260" t="s">
        <v>185</v>
      </c>
      <c r="L260" t="s">
        <v>185</v>
      </c>
      <c r="M260" t="s">
        <v>185</v>
      </c>
      <c r="N260" t="s">
        <v>1778</v>
      </c>
      <c r="O260">
        <v>554642</v>
      </c>
      <c r="P260" t="s">
        <v>847</v>
      </c>
      <c r="Q260" t="s">
        <v>1779</v>
      </c>
      <c r="R260" t="s">
        <v>1780</v>
      </c>
      <c r="S260">
        <v>420605840509</v>
      </c>
      <c r="T260" t="s">
        <v>1781</v>
      </c>
      <c r="U260" t="s">
        <v>1782</v>
      </c>
      <c r="V260" t="s">
        <v>100</v>
      </c>
      <c r="W260" t="s">
        <v>97</v>
      </c>
      <c r="X260">
        <f>+VLOOKUP(O260,[1]DATA!$B$37:$AW$170,48,0)</f>
        <v>13921</v>
      </c>
    </row>
    <row r="261" spans="1:24" hidden="1">
      <c r="A261">
        <v>26406624</v>
      </c>
      <c r="B261" t="s">
        <v>1783</v>
      </c>
      <c r="C261" t="s">
        <v>1716</v>
      </c>
      <c r="D261" t="s">
        <v>1683</v>
      </c>
      <c r="E261" t="s">
        <v>1684</v>
      </c>
      <c r="F261" t="s">
        <v>185</v>
      </c>
      <c r="G261" s="56" t="s">
        <v>185</v>
      </c>
      <c r="H261" t="s">
        <v>184</v>
      </c>
      <c r="I261" t="s">
        <v>185</v>
      </c>
      <c r="J261" t="s">
        <v>185</v>
      </c>
      <c r="K261" t="s">
        <v>185</v>
      </c>
      <c r="L261" t="s">
        <v>185</v>
      </c>
      <c r="M261" t="s">
        <v>185</v>
      </c>
      <c r="N261" t="s">
        <v>1784</v>
      </c>
      <c r="O261">
        <v>554642</v>
      </c>
      <c r="P261" t="s">
        <v>847</v>
      </c>
      <c r="Q261" t="s">
        <v>1785</v>
      </c>
      <c r="R261" t="s">
        <v>1786</v>
      </c>
      <c r="S261">
        <v>420606112336</v>
      </c>
      <c r="T261" t="s">
        <v>1787</v>
      </c>
      <c r="U261" t="s">
        <v>1788</v>
      </c>
      <c r="V261" t="s">
        <v>100</v>
      </c>
      <c r="W261" t="s">
        <v>97</v>
      </c>
      <c r="X261">
        <f>+VLOOKUP(O261,[1]DATA!$B$37:$AW$170,48,0)</f>
        <v>13921</v>
      </c>
    </row>
    <row r="262" spans="1:24">
      <c r="A262">
        <v>29156521</v>
      </c>
      <c r="B262" t="s">
        <v>1789</v>
      </c>
      <c r="C262" t="s">
        <v>1790</v>
      </c>
      <c r="D262" t="s">
        <v>1683</v>
      </c>
      <c r="E262" t="s">
        <v>1684</v>
      </c>
      <c r="F262" t="s">
        <v>184</v>
      </c>
      <c r="G262" s="55" t="s">
        <v>184</v>
      </c>
      <c r="H262" t="s">
        <v>185</v>
      </c>
      <c r="I262" t="s">
        <v>185</v>
      </c>
      <c r="J262" t="s">
        <v>185</v>
      </c>
      <c r="K262" t="s">
        <v>185</v>
      </c>
      <c r="L262" t="s">
        <v>185</v>
      </c>
      <c r="M262" t="s">
        <v>185</v>
      </c>
      <c r="N262" t="s">
        <v>1791</v>
      </c>
      <c r="O262">
        <v>554961</v>
      </c>
      <c r="P262" t="s">
        <v>1147</v>
      </c>
      <c r="Q262" t="s">
        <v>1792</v>
      </c>
      <c r="R262" t="s">
        <v>1793</v>
      </c>
      <c r="S262">
        <v>420604183691</v>
      </c>
      <c r="T262" t="s">
        <v>1794</v>
      </c>
      <c r="U262" t="s">
        <v>1795</v>
      </c>
      <c r="V262" t="s">
        <v>102</v>
      </c>
      <c r="W262" t="s">
        <v>101</v>
      </c>
      <c r="X262">
        <f>+VLOOKUP(O262,[1]DATA!$B$37:$AW$170,48,0)</f>
        <v>48788</v>
      </c>
    </row>
    <row r="263" spans="1:24" hidden="1">
      <c r="A263">
        <v>3756122</v>
      </c>
      <c r="B263" t="s">
        <v>1796</v>
      </c>
      <c r="C263" t="s">
        <v>1703</v>
      </c>
      <c r="D263" t="s">
        <v>1683</v>
      </c>
      <c r="E263" t="s">
        <v>1684</v>
      </c>
      <c r="F263" t="s">
        <v>184</v>
      </c>
      <c r="G263" s="56" t="s">
        <v>185</v>
      </c>
      <c r="H263" t="s">
        <v>185</v>
      </c>
      <c r="I263" t="s">
        <v>185</v>
      </c>
      <c r="J263" t="s">
        <v>185</v>
      </c>
      <c r="K263" t="s">
        <v>185</v>
      </c>
      <c r="L263" t="s">
        <v>185</v>
      </c>
      <c r="M263" t="s">
        <v>185</v>
      </c>
      <c r="N263" t="s">
        <v>1797</v>
      </c>
      <c r="O263">
        <v>554961</v>
      </c>
      <c r="P263" t="s">
        <v>1147</v>
      </c>
      <c r="Q263" t="s">
        <v>1798</v>
      </c>
      <c r="R263" t="s">
        <v>1799</v>
      </c>
      <c r="S263">
        <v>420773581684</v>
      </c>
      <c r="T263" t="s">
        <v>1800</v>
      </c>
      <c r="U263" t="s">
        <v>1801</v>
      </c>
      <c r="V263" t="s">
        <v>102</v>
      </c>
      <c r="W263" t="s">
        <v>101</v>
      </c>
      <c r="X263">
        <f>+VLOOKUP(O263,[1]DATA!$B$37:$AW$170,48,0)</f>
        <v>48788</v>
      </c>
    </row>
    <row r="264" spans="1:24">
      <c r="A264">
        <v>29125162</v>
      </c>
      <c r="B264" t="s">
        <v>1802</v>
      </c>
      <c r="C264" t="s">
        <v>1716</v>
      </c>
      <c r="D264" t="s">
        <v>1683</v>
      </c>
      <c r="E264" t="s">
        <v>1684</v>
      </c>
      <c r="F264" t="s">
        <v>184</v>
      </c>
      <c r="G264" s="55" t="s">
        <v>184</v>
      </c>
      <c r="H264" t="s">
        <v>185</v>
      </c>
      <c r="I264" t="s">
        <v>185</v>
      </c>
      <c r="J264" t="s">
        <v>185</v>
      </c>
      <c r="K264" t="s">
        <v>185</v>
      </c>
      <c r="L264" t="s">
        <v>185</v>
      </c>
      <c r="M264" t="s">
        <v>184</v>
      </c>
      <c r="N264" t="s">
        <v>1803</v>
      </c>
      <c r="O264">
        <v>554961</v>
      </c>
      <c r="P264" t="s">
        <v>1147</v>
      </c>
      <c r="Q264" t="s">
        <v>1804</v>
      </c>
      <c r="R264" t="s">
        <v>1805</v>
      </c>
      <c r="S264">
        <v>420353034600</v>
      </c>
      <c r="T264" t="s">
        <v>1806</v>
      </c>
      <c r="U264" t="s">
        <v>1807</v>
      </c>
      <c r="V264" t="s">
        <v>102</v>
      </c>
      <c r="W264" t="s">
        <v>101</v>
      </c>
      <c r="X264">
        <f>+VLOOKUP(O264,[1]DATA!$B$37:$AW$170,48,0)</f>
        <v>48788</v>
      </c>
    </row>
    <row r="265" spans="1:24">
      <c r="A265">
        <v>29125812</v>
      </c>
      <c r="B265" t="s">
        <v>1808</v>
      </c>
      <c r="C265" t="s">
        <v>1790</v>
      </c>
      <c r="D265" t="s">
        <v>1683</v>
      </c>
      <c r="E265" t="s">
        <v>1684</v>
      </c>
      <c r="F265" t="s">
        <v>184</v>
      </c>
      <c r="G265" s="55" t="s">
        <v>184</v>
      </c>
      <c r="H265" t="s">
        <v>185</v>
      </c>
      <c r="I265" t="s">
        <v>185</v>
      </c>
      <c r="J265" t="s">
        <v>185</v>
      </c>
      <c r="K265" t="s">
        <v>185</v>
      </c>
      <c r="L265" t="s">
        <v>185</v>
      </c>
      <c r="M265" t="s">
        <v>185</v>
      </c>
      <c r="N265" t="s">
        <v>1809</v>
      </c>
      <c r="O265">
        <v>554961</v>
      </c>
      <c r="P265" t="s">
        <v>1147</v>
      </c>
      <c r="Q265" t="s">
        <v>1810</v>
      </c>
      <c r="R265" t="s">
        <v>1811</v>
      </c>
      <c r="S265">
        <v>420353034037</v>
      </c>
      <c r="T265" t="s">
        <v>1812</v>
      </c>
      <c r="U265" t="s">
        <v>1813</v>
      </c>
      <c r="V265" t="s">
        <v>102</v>
      </c>
      <c r="W265" t="s">
        <v>101</v>
      </c>
      <c r="X265">
        <f>+VLOOKUP(O265,[1]DATA!$B$37:$AW$170,48,0)</f>
        <v>48788</v>
      </c>
    </row>
    <row r="266" spans="1:24" hidden="1">
      <c r="A266">
        <v>22056882</v>
      </c>
      <c r="B266" t="s">
        <v>1814</v>
      </c>
      <c r="C266" t="s">
        <v>1716</v>
      </c>
      <c r="D266" t="s">
        <v>1683</v>
      </c>
      <c r="E266" t="s">
        <v>1684</v>
      </c>
      <c r="F266" t="s">
        <v>185</v>
      </c>
      <c r="G266" s="56" t="s">
        <v>185</v>
      </c>
      <c r="H266" t="s">
        <v>185</v>
      </c>
      <c r="I266" t="s">
        <v>185</v>
      </c>
      <c r="J266" t="s">
        <v>185</v>
      </c>
      <c r="K266" t="s">
        <v>185</v>
      </c>
      <c r="L266" t="s">
        <v>185</v>
      </c>
      <c r="M266" t="s">
        <v>184</v>
      </c>
      <c r="N266" t="s">
        <v>1815</v>
      </c>
      <c r="O266">
        <v>554961</v>
      </c>
      <c r="P266" t="s">
        <v>1147</v>
      </c>
      <c r="Q266" t="s">
        <v>1816</v>
      </c>
      <c r="R266" t="s">
        <v>1817</v>
      </c>
      <c r="S266">
        <v>420725523712</v>
      </c>
      <c r="T266" t="s">
        <v>1818</v>
      </c>
      <c r="U266" t="s">
        <v>1819</v>
      </c>
      <c r="V266" t="s">
        <v>102</v>
      </c>
      <c r="W266" t="s">
        <v>101</v>
      </c>
      <c r="X266">
        <f>+VLOOKUP(O266,[1]DATA!$B$37:$AW$170,48,0)</f>
        <v>48788</v>
      </c>
    </row>
    <row r="267" spans="1:24" hidden="1">
      <c r="A267">
        <v>25207768</v>
      </c>
      <c r="B267" t="s">
        <v>1820</v>
      </c>
      <c r="C267" t="s">
        <v>1716</v>
      </c>
      <c r="D267" t="s">
        <v>1683</v>
      </c>
      <c r="E267" t="s">
        <v>1684</v>
      </c>
      <c r="F267" t="s">
        <v>185</v>
      </c>
      <c r="G267" s="56" t="s">
        <v>185</v>
      </c>
      <c r="H267" t="s">
        <v>184</v>
      </c>
      <c r="I267" t="s">
        <v>185</v>
      </c>
      <c r="J267" t="s">
        <v>185</v>
      </c>
      <c r="K267" t="s">
        <v>185</v>
      </c>
      <c r="L267" t="s">
        <v>185</v>
      </c>
      <c r="M267" t="s">
        <v>185</v>
      </c>
      <c r="N267" t="s">
        <v>1821</v>
      </c>
      <c r="O267">
        <v>554961</v>
      </c>
      <c r="P267" t="s">
        <v>1147</v>
      </c>
      <c r="Q267" t="s">
        <v>1822</v>
      </c>
      <c r="R267" t="s">
        <v>1823</v>
      </c>
      <c r="S267">
        <v>420353565689</v>
      </c>
      <c r="T267" t="s">
        <v>1824</v>
      </c>
      <c r="U267" t="s">
        <v>1825</v>
      </c>
      <c r="V267" t="s">
        <v>102</v>
      </c>
      <c r="W267" t="s">
        <v>101</v>
      </c>
      <c r="X267">
        <f>+VLOOKUP(O267,[1]DATA!$B$37:$AW$170,48,0)</f>
        <v>48788</v>
      </c>
    </row>
    <row r="268" spans="1:24">
      <c r="A268">
        <v>71340696</v>
      </c>
      <c r="B268" t="s">
        <v>1826</v>
      </c>
      <c r="C268" t="s">
        <v>1691</v>
      </c>
      <c r="D268" t="s">
        <v>182</v>
      </c>
      <c r="E268" t="s">
        <v>183</v>
      </c>
      <c r="F268" t="s">
        <v>184</v>
      </c>
      <c r="G268" s="55" t="s">
        <v>184</v>
      </c>
      <c r="H268" t="s">
        <v>185</v>
      </c>
      <c r="I268" t="s">
        <v>185</v>
      </c>
      <c r="J268" t="s">
        <v>185</v>
      </c>
      <c r="K268" t="s">
        <v>185</v>
      </c>
      <c r="L268" t="s">
        <v>185</v>
      </c>
      <c r="M268" t="s">
        <v>185</v>
      </c>
      <c r="N268" t="s">
        <v>1827</v>
      </c>
      <c r="O268">
        <v>555533</v>
      </c>
      <c r="P268" t="s">
        <v>1828</v>
      </c>
      <c r="Q268" t="s">
        <v>1829</v>
      </c>
      <c r="R268" t="s">
        <v>1830</v>
      </c>
      <c r="S268">
        <v>420353567165</v>
      </c>
      <c r="T268" t="s">
        <v>1831</v>
      </c>
      <c r="U268" t="s">
        <v>1832</v>
      </c>
      <c r="V268" t="s">
        <v>102</v>
      </c>
      <c r="W268" t="s">
        <v>101</v>
      </c>
      <c r="X268">
        <f>+VLOOKUP(O268,[1]DATA!$B$37:$AW$170,48,0)</f>
        <v>1298</v>
      </c>
    </row>
    <row r="269" spans="1:24" hidden="1">
      <c r="A269">
        <v>26325233</v>
      </c>
      <c r="B269" t="s">
        <v>1833</v>
      </c>
      <c r="C269" t="s">
        <v>1716</v>
      </c>
      <c r="D269" t="s">
        <v>1683</v>
      </c>
      <c r="E269" t="s">
        <v>1684</v>
      </c>
      <c r="F269" t="s">
        <v>185</v>
      </c>
      <c r="G269" s="56" t="s">
        <v>185</v>
      </c>
      <c r="H269" t="s">
        <v>184</v>
      </c>
      <c r="I269" t="s">
        <v>185</v>
      </c>
      <c r="J269" t="s">
        <v>185</v>
      </c>
      <c r="K269" t="s">
        <v>185</v>
      </c>
      <c r="L269" t="s">
        <v>185</v>
      </c>
      <c r="M269" t="s">
        <v>185</v>
      </c>
      <c r="N269" t="s">
        <v>1834</v>
      </c>
      <c r="O269">
        <v>554961</v>
      </c>
      <c r="P269" t="s">
        <v>1147</v>
      </c>
      <c r="Q269" t="s">
        <v>1835</v>
      </c>
      <c r="R269" t="s">
        <v>1836</v>
      </c>
      <c r="S269">
        <v>420724829247</v>
      </c>
      <c r="T269" t="s">
        <v>1837</v>
      </c>
      <c r="U269" t="s">
        <v>1838</v>
      </c>
      <c r="V269" t="s">
        <v>102</v>
      </c>
      <c r="W269" t="s">
        <v>101</v>
      </c>
      <c r="X269">
        <f>+VLOOKUP(O269,[1]DATA!$B$37:$AW$170,48,0)</f>
        <v>48788</v>
      </c>
    </row>
    <row r="270" spans="1:24" hidden="1">
      <c r="A270">
        <v>29079233</v>
      </c>
      <c r="B270" t="s">
        <v>1839</v>
      </c>
      <c r="C270" t="s">
        <v>1716</v>
      </c>
      <c r="D270" t="s">
        <v>1683</v>
      </c>
      <c r="E270" t="s">
        <v>1684</v>
      </c>
      <c r="F270" t="s">
        <v>184</v>
      </c>
      <c r="G270" s="56" t="s">
        <v>185</v>
      </c>
      <c r="H270" t="s">
        <v>185</v>
      </c>
      <c r="I270" t="s">
        <v>185</v>
      </c>
      <c r="J270" t="s">
        <v>185</v>
      </c>
      <c r="K270" t="s">
        <v>185</v>
      </c>
      <c r="L270" t="s">
        <v>185</v>
      </c>
      <c r="M270" t="s">
        <v>185</v>
      </c>
      <c r="N270" t="s">
        <v>1840</v>
      </c>
      <c r="O270">
        <v>554961</v>
      </c>
      <c r="P270" t="s">
        <v>1147</v>
      </c>
      <c r="Q270" t="s">
        <v>1841</v>
      </c>
      <c r="R270" t="s">
        <v>1842</v>
      </c>
      <c r="S270">
        <v>420777740193</v>
      </c>
      <c r="T270" t="s">
        <v>1843</v>
      </c>
      <c r="U270" t="s">
        <v>1844</v>
      </c>
      <c r="V270" t="s">
        <v>102</v>
      </c>
      <c r="W270" t="s">
        <v>101</v>
      </c>
      <c r="X270">
        <f>+VLOOKUP(O270,[1]DATA!$B$37:$AW$170,48,0)</f>
        <v>48788</v>
      </c>
    </row>
    <row r="271" spans="1:24" hidden="1">
      <c r="A271">
        <v>26332914</v>
      </c>
      <c r="B271" t="s">
        <v>1845</v>
      </c>
      <c r="C271" t="s">
        <v>1790</v>
      </c>
      <c r="D271" t="s">
        <v>1683</v>
      </c>
      <c r="E271" t="s">
        <v>1684</v>
      </c>
      <c r="F271" t="s">
        <v>185</v>
      </c>
      <c r="G271" s="56" t="s">
        <v>185</v>
      </c>
      <c r="H271" t="s">
        <v>185</v>
      </c>
      <c r="I271" t="s">
        <v>185</v>
      </c>
      <c r="J271" t="s">
        <v>185</v>
      </c>
      <c r="K271" t="s">
        <v>185</v>
      </c>
      <c r="L271" t="s">
        <v>185</v>
      </c>
      <c r="M271" t="s">
        <v>184</v>
      </c>
      <c r="N271" t="s">
        <v>1846</v>
      </c>
      <c r="O271">
        <v>554961</v>
      </c>
      <c r="P271" t="s">
        <v>1147</v>
      </c>
      <c r="Q271" t="s">
        <v>1847</v>
      </c>
      <c r="R271" t="s">
        <v>1848</v>
      </c>
      <c r="S271">
        <v>420353109662</v>
      </c>
      <c r="T271" t="s">
        <v>1849</v>
      </c>
      <c r="U271" t="s">
        <v>1850</v>
      </c>
      <c r="V271" t="s">
        <v>102</v>
      </c>
      <c r="W271" t="s">
        <v>101</v>
      </c>
      <c r="X271">
        <f>+VLOOKUP(O271,[1]DATA!$B$37:$AW$170,48,0)</f>
        <v>48788</v>
      </c>
    </row>
    <row r="272" spans="1:24" hidden="1">
      <c r="A272">
        <v>25210564</v>
      </c>
      <c r="B272" t="s">
        <v>1851</v>
      </c>
      <c r="C272" t="s">
        <v>1716</v>
      </c>
      <c r="D272" t="s">
        <v>1683</v>
      </c>
      <c r="E272" t="s">
        <v>1684</v>
      </c>
      <c r="F272" t="s">
        <v>185</v>
      </c>
      <c r="G272" s="56" t="s">
        <v>185</v>
      </c>
      <c r="H272" t="s">
        <v>184</v>
      </c>
      <c r="I272" t="s">
        <v>185</v>
      </c>
      <c r="J272" t="s">
        <v>185</v>
      </c>
      <c r="K272" t="s">
        <v>185</v>
      </c>
      <c r="L272" t="s">
        <v>185</v>
      </c>
      <c r="M272" t="s">
        <v>185</v>
      </c>
      <c r="N272" t="s">
        <v>1852</v>
      </c>
      <c r="O272">
        <v>554961</v>
      </c>
      <c r="P272" t="s">
        <v>1147</v>
      </c>
      <c r="Q272" t="s">
        <v>1853</v>
      </c>
      <c r="R272" t="s">
        <v>1854</v>
      </c>
      <c r="S272">
        <v>420353224373</v>
      </c>
      <c r="T272" t="s">
        <v>1855</v>
      </c>
      <c r="U272" t="s">
        <v>1856</v>
      </c>
      <c r="V272" t="s">
        <v>102</v>
      </c>
      <c r="W272" t="s">
        <v>101</v>
      </c>
      <c r="X272">
        <f>+VLOOKUP(O272,[1]DATA!$B$37:$AW$170,48,0)</f>
        <v>48788</v>
      </c>
    </row>
    <row r="273" spans="1:24">
      <c r="A273">
        <v>9824529</v>
      </c>
      <c r="B273" t="s">
        <v>1857</v>
      </c>
      <c r="C273" t="s">
        <v>1716</v>
      </c>
      <c r="D273" t="s">
        <v>1683</v>
      </c>
      <c r="E273" t="s">
        <v>1684</v>
      </c>
      <c r="F273" t="s">
        <v>185</v>
      </c>
      <c r="G273" s="55" t="s">
        <v>184</v>
      </c>
      <c r="H273" t="s">
        <v>185</v>
      </c>
      <c r="I273" t="s">
        <v>185</v>
      </c>
      <c r="J273" t="s">
        <v>185</v>
      </c>
      <c r="K273" t="s">
        <v>185</v>
      </c>
      <c r="L273" t="s">
        <v>185</v>
      </c>
      <c r="M273" t="s">
        <v>185</v>
      </c>
      <c r="N273" t="s">
        <v>1858</v>
      </c>
      <c r="O273">
        <v>554961</v>
      </c>
      <c r="P273" t="s">
        <v>1147</v>
      </c>
      <c r="Q273" t="s">
        <v>1859</v>
      </c>
      <c r="R273" t="s">
        <v>1860</v>
      </c>
      <c r="S273">
        <v>420608583308</v>
      </c>
      <c r="T273" t="s">
        <v>1861</v>
      </c>
      <c r="U273" t="s">
        <v>1862</v>
      </c>
      <c r="V273" t="s">
        <v>102</v>
      </c>
      <c r="W273" t="s">
        <v>101</v>
      </c>
      <c r="X273">
        <f>+VLOOKUP(O273,[1]DATA!$B$37:$AW$170,48,0)</f>
        <v>48788</v>
      </c>
    </row>
    <row r="274" spans="1:24" hidden="1">
      <c r="A274">
        <v>49777513</v>
      </c>
      <c r="B274" t="s">
        <v>1863</v>
      </c>
      <c r="C274" t="s">
        <v>1864</v>
      </c>
      <c r="D274" t="s">
        <v>182</v>
      </c>
      <c r="E274" t="s">
        <v>1730</v>
      </c>
      <c r="F274" t="s">
        <v>185</v>
      </c>
      <c r="G274" s="56" t="s">
        <v>185</v>
      </c>
      <c r="H274" t="s">
        <v>185</v>
      </c>
      <c r="I274" t="s">
        <v>185</v>
      </c>
      <c r="J274" t="s">
        <v>184</v>
      </c>
      <c r="K274" t="s">
        <v>185</v>
      </c>
      <c r="L274" t="s">
        <v>185</v>
      </c>
      <c r="M274" t="s">
        <v>185</v>
      </c>
      <c r="N274" t="s">
        <v>1865</v>
      </c>
      <c r="O274">
        <v>554481</v>
      </c>
      <c r="P274" t="s">
        <v>67</v>
      </c>
      <c r="Q274" t="s">
        <v>1866</v>
      </c>
      <c r="R274" t="s">
        <v>1867</v>
      </c>
      <c r="S274">
        <v>420377633001</v>
      </c>
      <c r="T274" t="s">
        <v>1868</v>
      </c>
      <c r="U274" t="s">
        <v>1869</v>
      </c>
      <c r="V274" t="s">
        <v>99</v>
      </c>
      <c r="W274" t="s">
        <v>97</v>
      </c>
      <c r="X274">
        <f>+VLOOKUP(O274,[1]DATA!$B$37:$AW$170,48,0)</f>
        <v>32892</v>
      </c>
    </row>
    <row r="275" spans="1:24" hidden="1">
      <c r="A275">
        <v>49777513</v>
      </c>
      <c r="B275" t="s">
        <v>1870</v>
      </c>
      <c r="C275" t="s">
        <v>1864</v>
      </c>
      <c r="D275" t="s">
        <v>182</v>
      </c>
      <c r="E275" t="s">
        <v>1730</v>
      </c>
      <c r="F275" t="s">
        <v>185</v>
      </c>
      <c r="G275" s="56" t="s">
        <v>185</v>
      </c>
      <c r="H275" t="s">
        <v>185</v>
      </c>
      <c r="I275" t="s">
        <v>185</v>
      </c>
      <c r="J275" t="s">
        <v>184</v>
      </c>
      <c r="K275" t="s">
        <v>185</v>
      </c>
      <c r="L275" t="s">
        <v>185</v>
      </c>
      <c r="M275" t="s">
        <v>185</v>
      </c>
      <c r="N275" t="s">
        <v>1865</v>
      </c>
      <c r="O275">
        <v>554481</v>
      </c>
      <c r="P275" t="s">
        <v>67</v>
      </c>
      <c r="Q275" t="s">
        <v>1871</v>
      </c>
      <c r="R275" t="s">
        <v>1872</v>
      </c>
      <c r="S275">
        <v>420377636013</v>
      </c>
      <c r="T275" t="s">
        <v>1873</v>
      </c>
      <c r="U275" t="s">
        <v>1874</v>
      </c>
      <c r="V275" t="s">
        <v>99</v>
      </c>
      <c r="W275" t="s">
        <v>97</v>
      </c>
      <c r="X275">
        <f>+VLOOKUP(O275,[1]DATA!$B$37:$AW$170,48,0)</f>
        <v>32892</v>
      </c>
    </row>
    <row r="276" spans="1:24" hidden="1">
      <c r="A276">
        <v>49777513</v>
      </c>
      <c r="B276" t="s">
        <v>1870</v>
      </c>
      <c r="C276" t="s">
        <v>1864</v>
      </c>
      <c r="D276" t="s">
        <v>182</v>
      </c>
      <c r="E276" t="s">
        <v>1730</v>
      </c>
      <c r="F276" t="s">
        <v>185</v>
      </c>
      <c r="G276" s="56" t="s">
        <v>185</v>
      </c>
      <c r="H276" t="s">
        <v>185</v>
      </c>
      <c r="I276" t="s">
        <v>185</v>
      </c>
      <c r="J276" t="s">
        <v>184</v>
      </c>
      <c r="K276" t="s">
        <v>185</v>
      </c>
      <c r="L276" t="s">
        <v>185</v>
      </c>
      <c r="M276" t="s">
        <v>185</v>
      </c>
      <c r="N276" t="s">
        <v>1875</v>
      </c>
      <c r="O276">
        <v>554961</v>
      </c>
      <c r="P276" t="s">
        <v>1147</v>
      </c>
      <c r="Q276" t="s">
        <v>1876</v>
      </c>
      <c r="R276" t="s">
        <v>1877</v>
      </c>
      <c r="S276">
        <v>420377636014</v>
      </c>
      <c r="T276" t="s">
        <v>1878</v>
      </c>
      <c r="U276" t="s">
        <v>1879</v>
      </c>
      <c r="V276" t="s">
        <v>102</v>
      </c>
      <c r="W276" t="s">
        <v>101</v>
      </c>
      <c r="X276">
        <f>+VLOOKUP(O276,[1]DATA!$B$37:$AW$170,48,0)</f>
        <v>48788</v>
      </c>
    </row>
    <row r="277" spans="1:24" hidden="1">
      <c r="A277">
        <v>60460709</v>
      </c>
      <c r="B277" t="s">
        <v>1880</v>
      </c>
      <c r="C277" t="s">
        <v>1864</v>
      </c>
      <c r="D277" t="s">
        <v>182</v>
      </c>
      <c r="E277" t="s">
        <v>1730</v>
      </c>
      <c r="F277" t="s">
        <v>185</v>
      </c>
      <c r="G277" s="56" t="s">
        <v>185</v>
      </c>
      <c r="H277" t="s">
        <v>185</v>
      </c>
      <c r="I277" t="s">
        <v>185</v>
      </c>
      <c r="J277" t="s">
        <v>184</v>
      </c>
      <c r="K277" t="s">
        <v>185</v>
      </c>
      <c r="L277" t="s">
        <v>185</v>
      </c>
      <c r="M277" t="s">
        <v>185</v>
      </c>
      <c r="N277" t="s">
        <v>1881</v>
      </c>
      <c r="O277">
        <v>554961</v>
      </c>
      <c r="P277" t="s">
        <v>1147</v>
      </c>
      <c r="Q277" t="s">
        <v>1882</v>
      </c>
      <c r="R277" t="s">
        <v>1883</v>
      </c>
      <c r="S277">
        <v>420224384351</v>
      </c>
      <c r="T277" t="s">
        <v>1884</v>
      </c>
      <c r="U277" t="s">
        <v>1885</v>
      </c>
      <c r="V277" t="s">
        <v>102</v>
      </c>
      <c r="W277" t="s">
        <v>101</v>
      </c>
      <c r="X277">
        <f>+VLOOKUP(O277,[1]DATA!$B$37:$AW$170,48,0)</f>
        <v>48788</v>
      </c>
    </row>
    <row r="278" spans="1:24" hidden="1">
      <c r="A278">
        <v>4274644</v>
      </c>
      <c r="B278" t="s">
        <v>1886</v>
      </c>
      <c r="C278" t="s">
        <v>1887</v>
      </c>
      <c r="D278" t="s">
        <v>1683</v>
      </c>
      <c r="E278" t="s">
        <v>1684</v>
      </c>
      <c r="F278" t="s">
        <v>185</v>
      </c>
      <c r="G278" s="56" t="s">
        <v>185</v>
      </c>
      <c r="H278" t="s">
        <v>185</v>
      </c>
      <c r="I278" t="s">
        <v>185</v>
      </c>
      <c r="J278" t="s">
        <v>184</v>
      </c>
      <c r="K278" t="s">
        <v>185</v>
      </c>
      <c r="L278" t="s">
        <v>185</v>
      </c>
      <c r="M278" t="s">
        <v>185</v>
      </c>
      <c r="N278" t="s">
        <v>1888</v>
      </c>
      <c r="O278">
        <v>554961</v>
      </c>
      <c r="P278" t="s">
        <v>1147</v>
      </c>
      <c r="Q278" t="s">
        <v>1889</v>
      </c>
      <c r="R278" t="s">
        <v>1890</v>
      </c>
      <c r="S278">
        <v>420357070081</v>
      </c>
      <c r="T278" t="s">
        <v>1891</v>
      </c>
      <c r="U278" t="s">
        <v>1892</v>
      </c>
      <c r="V278" t="s">
        <v>102</v>
      </c>
      <c r="W278" t="s">
        <v>101</v>
      </c>
      <c r="X278">
        <f>+VLOOKUP(O278,[1]DATA!$B$37:$AW$170,48,0)</f>
        <v>48788</v>
      </c>
    </row>
    <row r="279" spans="1:24" hidden="1">
      <c r="A279">
        <v>27235530</v>
      </c>
      <c r="B279" t="s">
        <v>1893</v>
      </c>
      <c r="C279" t="s">
        <v>1790</v>
      </c>
      <c r="D279" t="s">
        <v>1683</v>
      </c>
      <c r="E279" t="s">
        <v>1684</v>
      </c>
      <c r="F279" t="s">
        <v>185</v>
      </c>
      <c r="G279" s="56" t="s">
        <v>185</v>
      </c>
      <c r="H279" t="s">
        <v>185</v>
      </c>
      <c r="I279" t="s">
        <v>185</v>
      </c>
      <c r="J279" t="s">
        <v>184</v>
      </c>
      <c r="K279" t="s">
        <v>185</v>
      </c>
      <c r="L279" t="s">
        <v>185</v>
      </c>
      <c r="M279" t="s">
        <v>185</v>
      </c>
      <c r="N279" t="s">
        <v>1894</v>
      </c>
      <c r="O279">
        <v>560286</v>
      </c>
      <c r="P279" t="s">
        <v>72</v>
      </c>
      <c r="Q279" t="s">
        <v>1895</v>
      </c>
      <c r="R279" t="s">
        <v>1896</v>
      </c>
      <c r="S279">
        <v>420210082418</v>
      </c>
      <c r="T279" t="s">
        <v>1897</v>
      </c>
      <c r="U279" t="s">
        <v>1898</v>
      </c>
      <c r="V279" t="s">
        <v>106</v>
      </c>
      <c r="W279" t="s">
        <v>104</v>
      </c>
      <c r="X279">
        <f>+VLOOKUP(O279,[1]DATA!$B$37:$AW$170,48,0)</f>
        <v>21908</v>
      </c>
    </row>
    <row r="280" spans="1:24">
      <c r="A280">
        <v>49123947</v>
      </c>
      <c r="B280" t="s">
        <v>1899</v>
      </c>
      <c r="D280" t="s">
        <v>1900</v>
      </c>
      <c r="E280" t="s">
        <v>183</v>
      </c>
      <c r="F280" t="s">
        <v>185</v>
      </c>
      <c r="G280" s="55" t="s">
        <v>184</v>
      </c>
      <c r="H280" t="s">
        <v>185</v>
      </c>
      <c r="I280" t="s">
        <v>185</v>
      </c>
      <c r="J280" t="s">
        <v>185</v>
      </c>
      <c r="K280" t="s">
        <v>185</v>
      </c>
      <c r="L280" t="s">
        <v>185</v>
      </c>
      <c r="M280" t="s">
        <v>185</v>
      </c>
      <c r="N280" t="s">
        <v>1901</v>
      </c>
      <c r="O280">
        <v>555657</v>
      </c>
      <c r="P280" t="s">
        <v>1373</v>
      </c>
      <c r="S280">
        <v>777149668</v>
      </c>
      <c r="T280" t="s">
        <v>1902</v>
      </c>
      <c r="U280" t="s">
        <v>1903</v>
      </c>
      <c r="V280" t="s">
        <v>102</v>
      </c>
      <c r="W280" t="s">
        <v>101</v>
      </c>
      <c r="X280">
        <f>+VLOOKUP(O280,[1]DATA!$B$37:$AW$170,48,0)</f>
        <v>3458</v>
      </c>
    </row>
    <row r="281" spans="1:24" hidden="1"/>
  </sheetData>
  <autoFilter ref="A4:W281" xr:uid="{5922B840-43A2-4967-8C91-7630728C2E8C}">
    <filterColumn colId="6">
      <filters>
        <filter val="ano"/>
      </filters>
    </filterColumn>
  </autoFilter>
  <hyperlinks>
    <hyperlink ref="T280" r:id="rId1" display="mailto:veducitel@vubuskovice.cz" xr:uid="{1CF7BD82-2DDE-43CF-A224-711A3E706D97}"/>
    <hyperlink ref="G2" r:id="rId2" display="https://www.datazapad.cz/pages/rim-mapa-skol-karlovarskeho-kraje" xr:uid="{3F2E01A9-5563-4B08-8674-2CDC9DFA3689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4DB-2022-429C-B272-FD669BB9BBE8}">
  <dimension ref="A1:I150"/>
  <sheetViews>
    <sheetView workbookViewId="0">
      <selection activeCell="E3" sqref="E3"/>
    </sheetView>
  </sheetViews>
  <sheetFormatPr defaultRowHeight="15"/>
  <cols>
    <col min="3" max="3" width="36.5703125" customWidth="1"/>
    <col min="4" max="4" width="13.85546875" customWidth="1"/>
  </cols>
  <sheetData>
    <row r="1" spans="1:9" ht="21">
      <c r="A1" s="41" t="s">
        <v>1911</v>
      </c>
      <c r="D1" s="14" t="s">
        <v>1922</v>
      </c>
    </row>
    <row r="2" spans="1:9" ht="21">
      <c r="A2" s="41"/>
      <c r="D2" t="s">
        <v>74</v>
      </c>
      <c r="E2" t="s">
        <v>2085</v>
      </c>
    </row>
    <row r="3" spans="1:9" ht="21">
      <c r="A3" s="41"/>
      <c r="D3" s="14"/>
      <c r="E3" s="13" t="s">
        <v>2084</v>
      </c>
    </row>
    <row r="4" spans="1:9" ht="21.75" thickBot="1">
      <c r="A4" s="41"/>
      <c r="D4" s="14"/>
      <c r="E4" t="s">
        <v>2081</v>
      </c>
    </row>
    <row r="5" spans="1:9" ht="26.25" thickBot="1">
      <c r="A5" s="82" t="s">
        <v>1921</v>
      </c>
      <c r="B5" s="83" t="s">
        <v>1920</v>
      </c>
      <c r="C5" s="84" t="s">
        <v>2076</v>
      </c>
      <c r="D5" s="88" t="s">
        <v>2082</v>
      </c>
      <c r="E5" s="85" t="s">
        <v>2077</v>
      </c>
      <c r="F5" s="92" t="s">
        <v>2078</v>
      </c>
      <c r="G5" s="92" t="s">
        <v>2079</v>
      </c>
      <c r="H5" s="92" t="s">
        <v>2080</v>
      </c>
      <c r="I5" s="93" t="s">
        <v>2083</v>
      </c>
    </row>
    <row r="6" spans="1:9">
      <c r="A6" s="79" t="s">
        <v>1926</v>
      </c>
      <c r="B6" s="80" t="s">
        <v>1919</v>
      </c>
      <c r="C6" s="81" t="s">
        <v>129</v>
      </c>
      <c r="D6" s="89">
        <v>292027</v>
      </c>
      <c r="E6" s="94">
        <v>1779</v>
      </c>
      <c r="F6" s="86">
        <v>9085</v>
      </c>
      <c r="G6" s="86">
        <v>14286</v>
      </c>
      <c r="H6" s="86">
        <v>14893</v>
      </c>
      <c r="I6" s="95">
        <f>+SUM(E6:H6)</f>
        <v>40043</v>
      </c>
    </row>
    <row r="7" spans="1:9">
      <c r="A7" s="62" t="s">
        <v>1923</v>
      </c>
      <c r="B7" s="64" t="s">
        <v>1927</v>
      </c>
      <c r="C7" s="60" t="s">
        <v>97</v>
      </c>
      <c r="D7" s="90">
        <v>93534</v>
      </c>
      <c r="E7" s="94">
        <v>585</v>
      </c>
      <c r="F7" s="86">
        <v>2779</v>
      </c>
      <c r="G7" s="86">
        <v>4496</v>
      </c>
      <c r="H7" s="86">
        <v>4846</v>
      </c>
      <c r="I7" s="95">
        <f t="shared" ref="I7:I16" si="0">+SUM(E7:H7)</f>
        <v>12706</v>
      </c>
    </row>
    <row r="8" spans="1:9">
      <c r="A8" s="63" t="s">
        <v>1924</v>
      </c>
      <c r="B8" s="64" t="s">
        <v>1928</v>
      </c>
      <c r="C8" s="60" t="s">
        <v>101</v>
      </c>
      <c r="D8" s="91">
        <v>114178</v>
      </c>
      <c r="E8" s="94">
        <v>640</v>
      </c>
      <c r="F8" s="86">
        <v>3470</v>
      </c>
      <c r="G8" s="86">
        <v>5491</v>
      </c>
      <c r="H8" s="86">
        <v>5697</v>
      </c>
      <c r="I8" s="95">
        <f t="shared" si="0"/>
        <v>15298</v>
      </c>
    </row>
    <row r="9" spans="1:9">
      <c r="A9" s="62" t="s">
        <v>1925</v>
      </c>
      <c r="B9" s="65" t="s">
        <v>1929</v>
      </c>
      <c r="C9" s="60" t="s">
        <v>104</v>
      </c>
      <c r="D9" s="90">
        <v>84315</v>
      </c>
      <c r="E9" s="94">
        <v>554</v>
      </c>
      <c r="F9" s="86">
        <v>2836</v>
      </c>
      <c r="G9" s="86">
        <v>4299</v>
      </c>
      <c r="H9" s="86">
        <v>4350</v>
      </c>
      <c r="I9" s="95">
        <f t="shared" si="0"/>
        <v>12039</v>
      </c>
    </row>
    <row r="10" spans="1:9">
      <c r="B10" s="74">
        <v>4101</v>
      </c>
      <c r="C10" s="75" t="s">
        <v>1912</v>
      </c>
      <c r="D10" s="91">
        <v>17111</v>
      </c>
      <c r="E10" s="94">
        <v>112</v>
      </c>
      <c r="F10" s="86">
        <v>531</v>
      </c>
      <c r="G10" s="86">
        <v>846</v>
      </c>
      <c r="H10" s="86">
        <v>936</v>
      </c>
      <c r="I10" s="95">
        <f t="shared" si="0"/>
        <v>2425</v>
      </c>
    </row>
    <row r="11" spans="1:9">
      <c r="B11" s="76">
        <v>4102</v>
      </c>
      <c r="C11" s="77" t="s">
        <v>1913</v>
      </c>
      <c r="D11" s="90">
        <v>51023</v>
      </c>
      <c r="E11" s="94">
        <v>322</v>
      </c>
      <c r="F11" s="86">
        <v>1505</v>
      </c>
      <c r="G11" s="86">
        <v>2428</v>
      </c>
      <c r="H11" s="86">
        <v>2618</v>
      </c>
      <c r="I11" s="95">
        <f t="shared" si="0"/>
        <v>6873</v>
      </c>
    </row>
    <row r="12" spans="1:9">
      <c r="B12" s="74">
        <v>4103</v>
      </c>
      <c r="C12" s="75" t="s">
        <v>1914</v>
      </c>
      <c r="D12" s="91">
        <v>87965</v>
      </c>
      <c r="E12" s="94">
        <v>499</v>
      </c>
      <c r="F12" s="86">
        <v>2663</v>
      </c>
      <c r="G12" s="86">
        <v>4259</v>
      </c>
      <c r="H12" s="86">
        <v>4396</v>
      </c>
      <c r="I12" s="95">
        <f t="shared" si="0"/>
        <v>11817</v>
      </c>
    </row>
    <row r="13" spans="1:9">
      <c r="B13" s="76">
        <v>4104</v>
      </c>
      <c r="C13" s="77" t="s">
        <v>1915</v>
      </c>
      <c r="D13" s="90">
        <v>12504</v>
      </c>
      <c r="E13" s="94">
        <v>83</v>
      </c>
      <c r="F13" s="86">
        <v>407</v>
      </c>
      <c r="G13" s="86">
        <v>609</v>
      </c>
      <c r="H13" s="86">
        <v>675</v>
      </c>
      <c r="I13" s="95">
        <f t="shared" si="0"/>
        <v>1774</v>
      </c>
    </row>
    <row r="14" spans="1:9">
      <c r="B14" s="74">
        <v>4105</v>
      </c>
      <c r="C14" s="75" t="s">
        <v>1916</v>
      </c>
      <c r="D14" s="91">
        <v>25400</v>
      </c>
      <c r="E14" s="94">
        <v>151</v>
      </c>
      <c r="F14" s="86">
        <v>743</v>
      </c>
      <c r="G14" s="86">
        <v>1222</v>
      </c>
      <c r="H14" s="86">
        <v>1292</v>
      </c>
      <c r="I14" s="95">
        <f t="shared" si="0"/>
        <v>3408</v>
      </c>
    </row>
    <row r="15" spans="1:9">
      <c r="B15" s="76">
        <v>4106</v>
      </c>
      <c r="C15" s="77" t="s">
        <v>1917</v>
      </c>
      <c r="D15" s="90">
        <v>26213</v>
      </c>
      <c r="E15" s="94">
        <v>141</v>
      </c>
      <c r="F15" s="86">
        <v>807</v>
      </c>
      <c r="G15" s="86">
        <v>1232</v>
      </c>
      <c r="H15" s="86">
        <v>1301</v>
      </c>
      <c r="I15" s="95">
        <f t="shared" si="0"/>
        <v>3481</v>
      </c>
    </row>
    <row r="16" spans="1:9" ht="15.75" thickBot="1">
      <c r="B16" s="74">
        <v>4107</v>
      </c>
      <c r="C16" s="78" t="s">
        <v>1918</v>
      </c>
      <c r="D16" s="91">
        <v>71811</v>
      </c>
      <c r="E16" s="96">
        <v>471</v>
      </c>
      <c r="F16" s="87">
        <v>2429</v>
      </c>
      <c r="G16" s="87">
        <v>3690</v>
      </c>
      <c r="H16" s="87">
        <v>3675</v>
      </c>
      <c r="I16" s="97">
        <f t="shared" si="0"/>
        <v>10265</v>
      </c>
    </row>
    <row r="17" spans="2:4">
      <c r="B17" s="62">
        <v>554979</v>
      </c>
      <c r="C17" s="59" t="s">
        <v>1930</v>
      </c>
      <c r="D17" s="66">
        <v>817</v>
      </c>
    </row>
    <row r="18" spans="2:4">
      <c r="B18" s="63">
        <v>538001</v>
      </c>
      <c r="C18" s="58" t="s">
        <v>1931</v>
      </c>
      <c r="D18" s="67">
        <v>408</v>
      </c>
    </row>
    <row r="19" spans="2:4">
      <c r="B19" s="62">
        <v>554499</v>
      </c>
      <c r="C19" s="59" t="s">
        <v>1932</v>
      </c>
      <c r="D19" s="66">
        <v>12683</v>
      </c>
    </row>
    <row r="20" spans="2:4">
      <c r="B20" s="63">
        <v>554995</v>
      </c>
      <c r="C20" s="58" t="s">
        <v>1933</v>
      </c>
      <c r="D20" s="67">
        <v>911</v>
      </c>
    </row>
    <row r="21" spans="2:4">
      <c r="B21" s="62">
        <v>555029</v>
      </c>
      <c r="C21" s="59" t="s">
        <v>1934</v>
      </c>
      <c r="D21" s="66">
        <v>1876</v>
      </c>
    </row>
    <row r="22" spans="2:4">
      <c r="B22" s="63">
        <v>506486</v>
      </c>
      <c r="C22" s="58" t="s">
        <v>1935</v>
      </c>
      <c r="D22" s="67">
        <v>250</v>
      </c>
    </row>
    <row r="23" spans="2:4">
      <c r="B23" s="62">
        <v>555045</v>
      </c>
      <c r="C23" s="59" t="s">
        <v>1936</v>
      </c>
      <c r="D23" s="66">
        <v>589</v>
      </c>
    </row>
    <row r="24" spans="2:4">
      <c r="B24" s="63">
        <v>500101</v>
      </c>
      <c r="C24" s="58" t="s">
        <v>1937</v>
      </c>
      <c r="D24" s="67">
        <v>264</v>
      </c>
    </row>
    <row r="25" spans="2:4">
      <c r="B25" s="62">
        <v>537870</v>
      </c>
      <c r="C25" s="59" t="s">
        <v>1938</v>
      </c>
      <c r="D25" s="66">
        <v>714</v>
      </c>
    </row>
    <row r="26" spans="2:4">
      <c r="B26" s="63">
        <v>560294</v>
      </c>
      <c r="C26" s="58" t="s">
        <v>1939</v>
      </c>
      <c r="D26" s="67">
        <v>2640</v>
      </c>
    </row>
    <row r="27" spans="2:4">
      <c r="B27" s="62">
        <v>560308</v>
      </c>
      <c r="C27" s="59" t="s">
        <v>1940</v>
      </c>
      <c r="D27" s="66">
        <v>409</v>
      </c>
    </row>
    <row r="28" spans="2:4">
      <c r="B28" s="63">
        <v>560316</v>
      </c>
      <c r="C28" s="58" t="s">
        <v>1941</v>
      </c>
      <c r="D28" s="67">
        <v>1476</v>
      </c>
    </row>
    <row r="29" spans="2:4">
      <c r="B29" s="62">
        <v>560324</v>
      </c>
      <c r="C29" s="59" t="s">
        <v>1942</v>
      </c>
      <c r="D29" s="66">
        <v>838</v>
      </c>
    </row>
    <row r="30" spans="2:4">
      <c r="B30" s="63">
        <v>538019</v>
      </c>
      <c r="C30" s="58" t="s">
        <v>1943</v>
      </c>
      <c r="D30" s="67">
        <v>308</v>
      </c>
    </row>
    <row r="31" spans="2:4">
      <c r="B31" s="62">
        <v>506621</v>
      </c>
      <c r="C31" s="59" t="s">
        <v>1944</v>
      </c>
      <c r="D31" s="66">
        <v>158</v>
      </c>
    </row>
    <row r="32" spans="2:4">
      <c r="B32" s="63">
        <v>537918</v>
      </c>
      <c r="C32" s="58" t="s">
        <v>1945</v>
      </c>
      <c r="D32" s="67">
        <v>1992</v>
      </c>
    </row>
    <row r="33" spans="2:4">
      <c r="B33" s="62">
        <v>560332</v>
      </c>
      <c r="C33" s="59" t="s">
        <v>1946</v>
      </c>
      <c r="D33" s="66">
        <v>249</v>
      </c>
    </row>
    <row r="34" spans="2:4">
      <c r="B34" s="63">
        <v>538116</v>
      </c>
      <c r="C34" s="58" t="s">
        <v>1947</v>
      </c>
      <c r="D34" s="67">
        <v>466</v>
      </c>
    </row>
    <row r="35" spans="2:4">
      <c r="B35" s="62">
        <v>560341</v>
      </c>
      <c r="C35" s="59" t="s">
        <v>1948</v>
      </c>
      <c r="D35" s="66">
        <v>368</v>
      </c>
    </row>
    <row r="36" spans="2:4">
      <c r="B36" s="63">
        <v>538591</v>
      </c>
      <c r="C36" s="58" t="s">
        <v>1949</v>
      </c>
      <c r="D36" s="67">
        <v>1280</v>
      </c>
    </row>
    <row r="37" spans="2:4">
      <c r="B37" s="62">
        <v>554502</v>
      </c>
      <c r="C37" s="59" t="s">
        <v>1950</v>
      </c>
      <c r="D37" s="66">
        <v>1186</v>
      </c>
    </row>
    <row r="38" spans="2:4">
      <c r="B38" s="63">
        <v>500127</v>
      </c>
      <c r="C38" s="58" t="s">
        <v>1951</v>
      </c>
      <c r="D38" s="67">
        <v>172</v>
      </c>
    </row>
    <row r="39" spans="2:4">
      <c r="B39" s="62">
        <v>554511</v>
      </c>
      <c r="C39" s="59" t="s">
        <v>1952</v>
      </c>
      <c r="D39" s="66">
        <v>1046</v>
      </c>
    </row>
    <row r="40" spans="2:4">
      <c r="B40" s="63">
        <v>554529</v>
      </c>
      <c r="C40" s="58" t="s">
        <v>1953</v>
      </c>
      <c r="D40" s="67">
        <v>5648</v>
      </c>
    </row>
    <row r="41" spans="2:4">
      <c r="B41" s="62">
        <v>560359</v>
      </c>
      <c r="C41" s="59" t="s">
        <v>1954</v>
      </c>
      <c r="D41" s="66">
        <v>4614</v>
      </c>
    </row>
    <row r="42" spans="2:4">
      <c r="B42" s="63">
        <v>538159</v>
      </c>
      <c r="C42" s="58" t="s">
        <v>1955</v>
      </c>
      <c r="D42" s="67">
        <v>643</v>
      </c>
    </row>
    <row r="43" spans="2:4">
      <c r="B43" s="62">
        <v>554545</v>
      </c>
      <c r="C43" s="59" t="s">
        <v>1956</v>
      </c>
      <c r="D43" s="66">
        <v>1507</v>
      </c>
    </row>
    <row r="44" spans="2:4">
      <c r="B44" s="63">
        <v>555169</v>
      </c>
      <c r="C44" s="58" t="s">
        <v>1957</v>
      </c>
      <c r="D44" s="67">
        <v>350</v>
      </c>
    </row>
    <row r="45" spans="2:4">
      <c r="B45" s="62">
        <v>560367</v>
      </c>
      <c r="C45" s="59" t="s">
        <v>1958</v>
      </c>
      <c r="D45" s="66">
        <v>5071</v>
      </c>
    </row>
    <row r="46" spans="2:4">
      <c r="B46" s="63">
        <v>551651</v>
      </c>
      <c r="C46" s="58" t="s">
        <v>1959</v>
      </c>
      <c r="D46" s="67">
        <v>502</v>
      </c>
    </row>
    <row r="47" spans="2:4">
      <c r="B47" s="62">
        <v>555177</v>
      </c>
      <c r="C47" s="59" t="s">
        <v>1960</v>
      </c>
      <c r="D47" s="69" t="s">
        <v>2064</v>
      </c>
    </row>
    <row r="48" spans="2:4">
      <c r="B48" s="63">
        <v>554553</v>
      </c>
      <c r="C48" s="58" t="s">
        <v>1961</v>
      </c>
      <c r="D48" s="67">
        <v>2070</v>
      </c>
    </row>
    <row r="49" spans="2:4">
      <c r="B49" s="62">
        <v>555185</v>
      </c>
      <c r="C49" s="59" t="s">
        <v>1962</v>
      </c>
      <c r="D49" s="66">
        <v>2179</v>
      </c>
    </row>
    <row r="50" spans="2:4">
      <c r="B50" s="63">
        <v>554481</v>
      </c>
      <c r="C50" s="58" t="s">
        <v>1963</v>
      </c>
      <c r="D50" s="67">
        <v>32892</v>
      </c>
    </row>
    <row r="51" spans="2:4">
      <c r="B51" s="62">
        <v>560375</v>
      </c>
      <c r="C51" s="59" t="s">
        <v>1964</v>
      </c>
      <c r="D51" s="66">
        <v>314</v>
      </c>
    </row>
    <row r="52" spans="2:4">
      <c r="B52" s="63">
        <v>578011</v>
      </c>
      <c r="C52" s="58" t="s">
        <v>1965</v>
      </c>
      <c r="D52" s="67">
        <v>129</v>
      </c>
    </row>
    <row r="53" spans="2:4">
      <c r="B53" s="62">
        <v>560383</v>
      </c>
      <c r="C53" s="59" t="s">
        <v>1966</v>
      </c>
      <c r="D53" s="66">
        <v>12451</v>
      </c>
    </row>
    <row r="54" spans="2:4">
      <c r="B54" s="63">
        <v>555207</v>
      </c>
      <c r="C54" s="58" t="s">
        <v>1967</v>
      </c>
      <c r="D54" s="67">
        <v>586</v>
      </c>
    </row>
    <row r="55" spans="2:4">
      <c r="B55" s="62">
        <v>555215</v>
      </c>
      <c r="C55" s="59" t="s">
        <v>1968</v>
      </c>
      <c r="D55" s="66">
        <v>2248</v>
      </c>
    </row>
    <row r="56" spans="2:4">
      <c r="B56" s="63">
        <v>537926</v>
      </c>
      <c r="C56" s="58" t="s">
        <v>1969</v>
      </c>
      <c r="D56" s="67">
        <v>1116</v>
      </c>
    </row>
    <row r="57" spans="2:4">
      <c r="B57" s="62">
        <v>560413</v>
      </c>
      <c r="C57" s="59" t="s">
        <v>1970</v>
      </c>
      <c r="D57" s="66">
        <v>543</v>
      </c>
    </row>
    <row r="58" spans="2:4">
      <c r="B58" s="63">
        <v>511587</v>
      </c>
      <c r="C58" s="58" t="s">
        <v>1971</v>
      </c>
      <c r="D58" s="67">
        <v>442</v>
      </c>
    </row>
    <row r="59" spans="2:4">
      <c r="B59" s="62">
        <v>560421</v>
      </c>
      <c r="C59" s="59" t="s">
        <v>1972</v>
      </c>
      <c r="D59" s="66">
        <v>404</v>
      </c>
    </row>
    <row r="60" spans="2:4">
      <c r="B60" s="63">
        <v>554961</v>
      </c>
      <c r="C60" s="58" t="s">
        <v>1973</v>
      </c>
      <c r="D60" s="67">
        <v>48788</v>
      </c>
    </row>
    <row r="61" spans="2:4">
      <c r="B61" s="62">
        <v>555258</v>
      </c>
      <c r="C61" s="59" t="s">
        <v>1974</v>
      </c>
      <c r="D61" s="66">
        <v>952</v>
      </c>
    </row>
    <row r="62" spans="2:4">
      <c r="B62" s="63">
        <v>560456</v>
      </c>
      <c r="C62" s="58" t="s">
        <v>1975</v>
      </c>
      <c r="D62" s="67">
        <v>920</v>
      </c>
    </row>
    <row r="63" spans="2:4">
      <c r="B63" s="62">
        <v>560464</v>
      </c>
      <c r="C63" s="59" t="s">
        <v>1976</v>
      </c>
      <c r="D63" s="66">
        <v>768</v>
      </c>
    </row>
    <row r="64" spans="2:4">
      <c r="B64" s="63">
        <v>560472</v>
      </c>
      <c r="C64" s="58" t="s">
        <v>1977</v>
      </c>
      <c r="D64" s="67">
        <v>6369</v>
      </c>
    </row>
    <row r="65" spans="2:4">
      <c r="B65" s="62">
        <v>538795</v>
      </c>
      <c r="C65" s="59" t="s">
        <v>1978</v>
      </c>
      <c r="D65" s="66">
        <v>632</v>
      </c>
    </row>
    <row r="66" spans="2:4">
      <c r="B66" s="63">
        <v>555304</v>
      </c>
      <c r="C66" s="58" t="s">
        <v>1979</v>
      </c>
      <c r="D66" s="67">
        <v>389</v>
      </c>
    </row>
    <row r="67" spans="2:4">
      <c r="B67" s="62">
        <v>538337</v>
      </c>
      <c r="C67" s="59" t="s">
        <v>1980</v>
      </c>
      <c r="D67" s="66">
        <v>712</v>
      </c>
    </row>
    <row r="68" spans="2:4">
      <c r="B68" s="63">
        <v>578045</v>
      </c>
      <c r="C68" s="58" t="s">
        <v>1981</v>
      </c>
      <c r="D68" s="67">
        <v>361</v>
      </c>
    </row>
    <row r="69" spans="2:4">
      <c r="B69" s="62">
        <v>554596</v>
      </c>
      <c r="C69" s="59" t="s">
        <v>1982</v>
      </c>
      <c r="D69" s="66">
        <v>261</v>
      </c>
    </row>
    <row r="70" spans="2:4">
      <c r="B70" s="63">
        <v>560499</v>
      </c>
      <c r="C70" s="58" t="s">
        <v>1983</v>
      </c>
      <c r="D70" s="67">
        <v>4537</v>
      </c>
    </row>
    <row r="71" spans="2:4">
      <c r="B71" s="62">
        <v>555347</v>
      </c>
      <c r="C71" s="59" t="s">
        <v>1984</v>
      </c>
      <c r="D71" s="66">
        <v>820</v>
      </c>
    </row>
    <row r="72" spans="2:4">
      <c r="B72" s="63">
        <v>554600</v>
      </c>
      <c r="C72" s="58" t="s">
        <v>1985</v>
      </c>
      <c r="D72" s="67">
        <v>1403</v>
      </c>
    </row>
    <row r="73" spans="2:4">
      <c r="B73" s="62">
        <v>554618</v>
      </c>
      <c r="C73" s="59" t="s">
        <v>1986</v>
      </c>
      <c r="D73" s="66">
        <v>817</v>
      </c>
    </row>
    <row r="74" spans="2:4">
      <c r="B74" s="63">
        <v>560502</v>
      </c>
      <c r="C74" s="58" t="s">
        <v>1987</v>
      </c>
      <c r="D74" s="67">
        <v>513</v>
      </c>
    </row>
    <row r="75" spans="2:4">
      <c r="B75" s="62">
        <v>554626</v>
      </c>
      <c r="C75" s="59" t="s">
        <v>1988</v>
      </c>
      <c r="D75" s="66">
        <v>752</v>
      </c>
    </row>
    <row r="76" spans="2:4">
      <c r="B76" s="63">
        <v>560537</v>
      </c>
      <c r="C76" s="58" t="s">
        <v>1989</v>
      </c>
      <c r="D76" s="67">
        <v>2990</v>
      </c>
    </row>
    <row r="77" spans="2:4">
      <c r="B77" s="62">
        <v>560545</v>
      </c>
      <c r="C77" s="59" t="s">
        <v>1990</v>
      </c>
      <c r="D77" s="66">
        <v>1344</v>
      </c>
    </row>
    <row r="78" spans="2:4">
      <c r="B78" s="63">
        <v>554634</v>
      </c>
      <c r="C78" s="58" t="s">
        <v>1991</v>
      </c>
      <c r="D78" s="67">
        <v>2147</v>
      </c>
    </row>
    <row r="79" spans="2:4">
      <c r="B79" s="62">
        <v>554642</v>
      </c>
      <c r="C79" s="59" t="s">
        <v>1992</v>
      </c>
      <c r="D79" s="66">
        <v>13921</v>
      </c>
    </row>
    <row r="80" spans="2:4">
      <c r="B80" s="63">
        <v>555363</v>
      </c>
      <c r="C80" s="58" t="s">
        <v>1993</v>
      </c>
      <c r="D80" s="67">
        <v>888</v>
      </c>
    </row>
    <row r="81" spans="2:4">
      <c r="B81" s="62">
        <v>554651</v>
      </c>
      <c r="C81" s="59" t="s">
        <v>1994</v>
      </c>
      <c r="D81" s="66">
        <v>311</v>
      </c>
    </row>
    <row r="82" spans="2:4">
      <c r="B82" s="63">
        <v>538906</v>
      </c>
      <c r="C82" s="58" t="s">
        <v>1995</v>
      </c>
      <c r="D82" s="67">
        <v>293</v>
      </c>
    </row>
    <row r="83" spans="2:4">
      <c r="B83" s="62">
        <v>537934</v>
      </c>
      <c r="C83" s="59" t="s">
        <v>1996</v>
      </c>
      <c r="D83" s="66">
        <v>382</v>
      </c>
    </row>
    <row r="84" spans="2:4">
      <c r="B84" s="63">
        <v>554677</v>
      </c>
      <c r="C84" s="58" t="s">
        <v>1997</v>
      </c>
      <c r="D84" s="67">
        <v>409</v>
      </c>
    </row>
    <row r="85" spans="2:4">
      <c r="B85" s="62">
        <v>554693</v>
      </c>
      <c r="C85" s="59" t="s">
        <v>1998</v>
      </c>
      <c r="D85" s="66">
        <v>320</v>
      </c>
    </row>
    <row r="86" spans="2:4">
      <c r="B86" s="63">
        <v>555380</v>
      </c>
      <c r="C86" s="58" t="s">
        <v>1999</v>
      </c>
      <c r="D86" s="67">
        <v>7647</v>
      </c>
    </row>
    <row r="87" spans="2:4">
      <c r="B87" s="62">
        <v>555398</v>
      </c>
      <c r="C87" s="59" t="s">
        <v>2000</v>
      </c>
      <c r="D87" s="66">
        <v>4298</v>
      </c>
    </row>
    <row r="88" spans="2:4">
      <c r="B88" s="63">
        <v>560561</v>
      </c>
      <c r="C88" s="58" t="s">
        <v>2001</v>
      </c>
      <c r="D88" s="67">
        <v>229</v>
      </c>
    </row>
    <row r="89" spans="2:4">
      <c r="B89" s="62">
        <v>506494</v>
      </c>
      <c r="C89" s="59" t="s">
        <v>2002</v>
      </c>
      <c r="D89" s="66">
        <v>354</v>
      </c>
    </row>
    <row r="90" spans="2:4">
      <c r="B90" s="63">
        <v>560570</v>
      </c>
      <c r="C90" s="58" t="s">
        <v>2003</v>
      </c>
      <c r="D90" s="67">
        <v>2527</v>
      </c>
    </row>
    <row r="91" spans="2:4">
      <c r="B91" s="62">
        <v>554707</v>
      </c>
      <c r="C91" s="59" t="s">
        <v>2004</v>
      </c>
      <c r="D91" s="66">
        <v>530</v>
      </c>
    </row>
    <row r="92" spans="2:4">
      <c r="B92" s="63">
        <v>539554</v>
      </c>
      <c r="C92" s="58" t="s">
        <v>2005</v>
      </c>
      <c r="D92" s="67">
        <v>238</v>
      </c>
    </row>
    <row r="93" spans="2:4">
      <c r="B93" s="62">
        <v>538922</v>
      </c>
      <c r="C93" s="59" t="s">
        <v>2006</v>
      </c>
      <c r="D93" s="66">
        <v>266</v>
      </c>
    </row>
    <row r="94" spans="2:4">
      <c r="B94" s="63">
        <v>560588</v>
      </c>
      <c r="C94" s="58" t="s">
        <v>2007</v>
      </c>
      <c r="D94" s="67">
        <v>1618</v>
      </c>
    </row>
    <row r="95" spans="2:4">
      <c r="B95" s="62">
        <v>555428</v>
      </c>
      <c r="C95" s="59" t="s">
        <v>2008</v>
      </c>
      <c r="D95" s="66">
        <v>15615</v>
      </c>
    </row>
    <row r="96" spans="2:4">
      <c r="B96" s="63">
        <v>537969</v>
      </c>
      <c r="C96" s="58" t="s">
        <v>2009</v>
      </c>
      <c r="D96" s="67">
        <v>1061</v>
      </c>
    </row>
    <row r="97" spans="2:4">
      <c r="B97" s="62">
        <v>555444</v>
      </c>
      <c r="C97" s="59" t="s">
        <v>2010</v>
      </c>
      <c r="D97" s="66">
        <v>438</v>
      </c>
    </row>
    <row r="98" spans="2:4">
      <c r="B98" s="63">
        <v>539473</v>
      </c>
      <c r="C98" s="58" t="s">
        <v>2011</v>
      </c>
      <c r="D98" s="67">
        <v>149</v>
      </c>
    </row>
    <row r="99" spans="2:4">
      <c r="B99" s="62">
        <v>555452</v>
      </c>
      <c r="C99" s="59" t="s">
        <v>2012</v>
      </c>
      <c r="D99" s="66">
        <v>581</v>
      </c>
    </row>
    <row r="100" spans="2:4">
      <c r="B100" s="63">
        <v>556947</v>
      </c>
      <c r="C100" s="58" t="s">
        <v>2013</v>
      </c>
      <c r="D100" s="67">
        <v>573</v>
      </c>
    </row>
    <row r="101" spans="2:4">
      <c r="B101" s="62">
        <v>554740</v>
      </c>
      <c r="C101" s="59" t="s">
        <v>2014</v>
      </c>
      <c r="D101" s="66">
        <v>1890</v>
      </c>
    </row>
    <row r="102" spans="2:4">
      <c r="B102" s="63">
        <v>538817</v>
      </c>
      <c r="C102" s="58" t="s">
        <v>2015</v>
      </c>
      <c r="D102" s="67">
        <v>219</v>
      </c>
    </row>
    <row r="103" spans="2:4">
      <c r="B103" s="62">
        <v>538868</v>
      </c>
      <c r="C103" s="59" t="s">
        <v>2016</v>
      </c>
      <c r="D103" s="66">
        <v>378</v>
      </c>
    </row>
    <row r="104" spans="2:4">
      <c r="B104" s="63">
        <v>555479</v>
      </c>
      <c r="C104" s="58" t="s">
        <v>2017</v>
      </c>
      <c r="D104" s="67">
        <v>405</v>
      </c>
    </row>
    <row r="105" spans="2:4">
      <c r="B105" s="62">
        <v>577979</v>
      </c>
      <c r="C105" s="59" t="s">
        <v>2018</v>
      </c>
      <c r="D105" s="66">
        <v>170</v>
      </c>
    </row>
    <row r="106" spans="2:4">
      <c r="B106" s="63">
        <v>539538</v>
      </c>
      <c r="C106" s="58" t="s">
        <v>2019</v>
      </c>
      <c r="D106" s="67">
        <v>89</v>
      </c>
    </row>
    <row r="107" spans="2:4">
      <c r="B107" s="62">
        <v>560596</v>
      </c>
      <c r="C107" s="59" t="s">
        <v>2020</v>
      </c>
      <c r="D107" s="66">
        <v>67</v>
      </c>
    </row>
    <row r="108" spans="2:4">
      <c r="B108" s="63">
        <v>555525</v>
      </c>
      <c r="C108" s="58" t="s">
        <v>2021</v>
      </c>
      <c r="D108" s="67">
        <v>595</v>
      </c>
    </row>
    <row r="109" spans="2:4">
      <c r="B109" s="62">
        <v>560600</v>
      </c>
      <c r="C109" s="59" t="s">
        <v>2022</v>
      </c>
      <c r="D109" s="66">
        <v>2753</v>
      </c>
    </row>
    <row r="110" spans="2:4">
      <c r="B110" s="63">
        <v>560618</v>
      </c>
      <c r="C110" s="58" t="s">
        <v>2023</v>
      </c>
      <c r="D110" s="67">
        <v>338</v>
      </c>
    </row>
    <row r="111" spans="2:4">
      <c r="B111" s="62">
        <v>555533</v>
      </c>
      <c r="C111" s="59" t="s">
        <v>2024</v>
      </c>
      <c r="D111" s="66">
        <v>1298</v>
      </c>
    </row>
    <row r="112" spans="2:4">
      <c r="B112" s="63">
        <v>554812</v>
      </c>
      <c r="C112" s="58" t="s">
        <v>2025</v>
      </c>
      <c r="D112" s="67">
        <v>1875</v>
      </c>
    </row>
    <row r="113" spans="2:4">
      <c r="B113" s="62">
        <v>538027</v>
      </c>
      <c r="C113" s="59" t="s">
        <v>2026</v>
      </c>
      <c r="D113" s="66">
        <v>242</v>
      </c>
    </row>
    <row r="114" spans="2:4">
      <c r="B114" s="63">
        <v>560286</v>
      </c>
      <c r="C114" s="58" t="s">
        <v>2027</v>
      </c>
      <c r="D114" s="67">
        <v>21908</v>
      </c>
    </row>
    <row r="115" spans="2:4">
      <c r="B115" s="62">
        <v>555550</v>
      </c>
      <c r="C115" s="59" t="s">
        <v>2028</v>
      </c>
      <c r="D115" s="66">
        <v>652</v>
      </c>
    </row>
    <row r="116" spans="2:4">
      <c r="B116" s="63">
        <v>539112</v>
      </c>
      <c r="C116" s="58" t="s">
        <v>2029</v>
      </c>
      <c r="D116" s="67">
        <v>494</v>
      </c>
    </row>
    <row r="117" spans="2:4">
      <c r="B117" s="62">
        <v>560642</v>
      </c>
      <c r="C117" s="59" t="s">
        <v>2030</v>
      </c>
      <c r="D117" s="66">
        <v>785</v>
      </c>
    </row>
    <row r="118" spans="2:4">
      <c r="B118" s="63">
        <v>555584</v>
      </c>
      <c r="C118" s="58" t="s">
        <v>2031</v>
      </c>
      <c r="D118" s="67">
        <v>565</v>
      </c>
    </row>
    <row r="119" spans="2:4">
      <c r="B119" s="62">
        <v>555592</v>
      </c>
      <c r="C119" s="59" t="s">
        <v>2032</v>
      </c>
      <c r="D119" s="66">
        <v>633</v>
      </c>
    </row>
    <row r="120" spans="2:4">
      <c r="B120" s="63">
        <v>560651</v>
      </c>
      <c r="C120" s="58" t="s">
        <v>2033</v>
      </c>
      <c r="D120" s="67">
        <v>449</v>
      </c>
    </row>
    <row r="121" spans="2:4">
      <c r="B121" s="62">
        <v>538434</v>
      </c>
      <c r="C121" s="59" t="s">
        <v>2034</v>
      </c>
      <c r="D121" s="66">
        <v>1593</v>
      </c>
    </row>
    <row r="122" spans="2:4">
      <c r="B122" s="63">
        <v>538396</v>
      </c>
      <c r="C122" s="58" t="s">
        <v>2035</v>
      </c>
      <c r="D122" s="67">
        <v>394</v>
      </c>
    </row>
    <row r="123" spans="2:4">
      <c r="B123" s="62">
        <v>555614</v>
      </c>
      <c r="C123" s="59" t="s">
        <v>2036</v>
      </c>
      <c r="D123" s="66">
        <v>659</v>
      </c>
    </row>
    <row r="124" spans="2:4">
      <c r="B124" s="63">
        <v>560677</v>
      </c>
      <c r="C124" s="58" t="s">
        <v>2037</v>
      </c>
      <c r="D124" s="67">
        <v>296</v>
      </c>
    </row>
    <row r="125" spans="2:4">
      <c r="B125" s="62">
        <v>555622</v>
      </c>
      <c r="C125" s="59" t="s">
        <v>2038</v>
      </c>
      <c r="D125" s="66">
        <v>543</v>
      </c>
    </row>
    <row r="126" spans="2:4">
      <c r="B126" s="63">
        <v>538663</v>
      </c>
      <c r="C126" s="58" t="s">
        <v>2039</v>
      </c>
      <c r="D126" s="67">
        <v>166</v>
      </c>
    </row>
    <row r="127" spans="2:4">
      <c r="B127" s="62">
        <v>555631</v>
      </c>
      <c r="C127" s="59" t="s">
        <v>2040</v>
      </c>
      <c r="D127" s="66">
        <v>2909</v>
      </c>
    </row>
    <row r="128" spans="2:4">
      <c r="B128" s="63">
        <v>537845</v>
      </c>
      <c r="C128" s="58" t="s">
        <v>2041</v>
      </c>
      <c r="D128" s="67">
        <v>103</v>
      </c>
    </row>
    <row r="129" spans="2:4">
      <c r="B129" s="62">
        <v>579360</v>
      </c>
      <c r="C129" s="59" t="s">
        <v>2042</v>
      </c>
      <c r="D129" s="66">
        <v>265</v>
      </c>
    </row>
    <row r="130" spans="2:4">
      <c r="B130" s="63">
        <v>555657</v>
      </c>
      <c r="C130" s="58" t="s">
        <v>2043</v>
      </c>
      <c r="D130" s="67">
        <v>3458</v>
      </c>
    </row>
    <row r="131" spans="2:4">
      <c r="B131" s="62">
        <v>554855</v>
      </c>
      <c r="C131" s="59" t="s">
        <v>2044</v>
      </c>
      <c r="D131" s="66">
        <v>407</v>
      </c>
    </row>
    <row r="132" spans="2:4">
      <c r="B132" s="63">
        <v>539023</v>
      </c>
      <c r="C132" s="58" t="s">
        <v>2045</v>
      </c>
      <c r="D132" s="67">
        <v>484</v>
      </c>
    </row>
    <row r="133" spans="2:4">
      <c r="B133" s="62">
        <v>554880</v>
      </c>
      <c r="C133" s="59" t="s">
        <v>2046</v>
      </c>
      <c r="D133" s="66">
        <v>1072</v>
      </c>
    </row>
    <row r="134" spans="2:4">
      <c r="B134" s="63">
        <v>539619</v>
      </c>
      <c r="C134" s="58" t="s">
        <v>2047</v>
      </c>
      <c r="D134" s="67">
        <v>137</v>
      </c>
    </row>
    <row r="135" spans="2:4">
      <c r="B135" s="62">
        <v>555681</v>
      </c>
      <c r="C135" s="59" t="s">
        <v>2048</v>
      </c>
      <c r="D135" s="66">
        <v>590</v>
      </c>
    </row>
    <row r="136" spans="2:4">
      <c r="B136" s="63">
        <v>555690</v>
      </c>
      <c r="C136" s="58" t="s">
        <v>2049</v>
      </c>
      <c r="D136" s="67">
        <v>320</v>
      </c>
    </row>
    <row r="137" spans="2:4">
      <c r="B137" s="62">
        <v>539481</v>
      </c>
      <c r="C137" s="59" t="s">
        <v>2050</v>
      </c>
      <c r="D137" s="66">
        <v>468</v>
      </c>
    </row>
    <row r="138" spans="2:4">
      <c r="B138" s="63">
        <v>555703</v>
      </c>
      <c r="C138" s="58" t="s">
        <v>2051</v>
      </c>
      <c r="D138" s="67">
        <v>499</v>
      </c>
    </row>
    <row r="139" spans="2:4">
      <c r="B139" s="62">
        <v>539279</v>
      </c>
      <c r="C139" s="59" t="s">
        <v>2052</v>
      </c>
      <c r="D139" s="66">
        <v>2483</v>
      </c>
    </row>
    <row r="140" spans="2:4">
      <c r="B140" s="63">
        <v>578002</v>
      </c>
      <c r="C140" s="58" t="s">
        <v>2053</v>
      </c>
      <c r="D140" s="67">
        <v>180</v>
      </c>
    </row>
    <row r="141" spans="2:4">
      <c r="B141" s="62">
        <v>555711</v>
      </c>
      <c r="C141" s="59" t="s">
        <v>2054</v>
      </c>
      <c r="D141" s="66">
        <v>456</v>
      </c>
    </row>
    <row r="142" spans="2:4">
      <c r="B142" s="63">
        <v>560685</v>
      </c>
      <c r="C142" s="58" t="s">
        <v>2055</v>
      </c>
      <c r="D142" s="67">
        <v>1245</v>
      </c>
    </row>
    <row r="143" spans="2:4">
      <c r="B143" s="62">
        <v>539376</v>
      </c>
      <c r="C143" s="59" t="s">
        <v>2056</v>
      </c>
      <c r="D143" s="66">
        <v>120</v>
      </c>
    </row>
    <row r="144" spans="2:4">
      <c r="B144" s="63">
        <v>555738</v>
      </c>
      <c r="C144" s="58" t="s">
        <v>2057</v>
      </c>
      <c r="D144" s="67">
        <v>640</v>
      </c>
    </row>
    <row r="145" spans="2:4">
      <c r="B145" s="62">
        <v>539074</v>
      </c>
      <c r="C145" s="59" t="s">
        <v>2058</v>
      </c>
      <c r="D145" s="66">
        <v>248</v>
      </c>
    </row>
    <row r="146" spans="2:4">
      <c r="B146" s="63">
        <v>566675</v>
      </c>
      <c r="C146" s="58" t="s">
        <v>2059</v>
      </c>
      <c r="D146" s="67">
        <v>202</v>
      </c>
    </row>
    <row r="147" spans="2:4">
      <c r="B147" s="62">
        <v>560707</v>
      </c>
      <c r="C147" s="59" t="s">
        <v>2060</v>
      </c>
      <c r="D147" s="66">
        <v>430</v>
      </c>
    </row>
    <row r="148" spans="2:4">
      <c r="B148" s="63">
        <v>578029</v>
      </c>
      <c r="C148" s="58" t="s">
        <v>2061</v>
      </c>
      <c r="D148" s="67">
        <v>340</v>
      </c>
    </row>
    <row r="149" spans="2:4">
      <c r="B149" s="62">
        <v>539431</v>
      </c>
      <c r="C149" s="59" t="s">
        <v>2062</v>
      </c>
      <c r="D149" s="66">
        <v>430</v>
      </c>
    </row>
    <row r="150" spans="2:4" ht="15.75" thickBot="1">
      <c r="B150" s="63">
        <v>555762</v>
      </c>
      <c r="C150" s="58" t="s">
        <v>2063</v>
      </c>
      <c r="D150" s="68">
        <v>2153</v>
      </c>
    </row>
  </sheetData>
  <hyperlinks>
    <hyperlink ref="E3" r:id="rId1" location="k=5&amp;pvokc=43&amp;uroven=70&amp;w=" display="https://vdb.czso.cz/vdbvo2/faces/cs/index.jsf?page=uziv-dotaz - k=5&amp;pvokc=43&amp;uroven=70&amp;w=" xr:uid="{FEF5ABE0-772D-4043-9623-DE736467543B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3abf15-587c-41fd-8dd2-ba1bd8ac209d">
      <Terms xmlns="http://schemas.microsoft.com/office/infopath/2007/PartnerControls"/>
    </lcf76f155ced4ddcb4097134ff3c332f>
    <TaxCatchAll xmlns="92c540b9-157c-4b99-943f-1b58c6d7fe1c" xsi:nil="true"/>
    <Kategorie xmlns="b83abf15-587c-41fd-8dd2-ba1bd8ac20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A3DCD1378D8E438B2D48720A1E20A1" ma:contentTypeVersion="15" ma:contentTypeDescription="Vytvoří nový dokument" ma:contentTypeScope="" ma:versionID="069e64d0e241d8b0bca5cd707ece345b">
  <xsd:schema xmlns:xsd="http://www.w3.org/2001/XMLSchema" xmlns:xs="http://www.w3.org/2001/XMLSchema" xmlns:p="http://schemas.microsoft.com/office/2006/metadata/properties" xmlns:ns2="b83abf15-587c-41fd-8dd2-ba1bd8ac209d" xmlns:ns3="92c540b9-157c-4b99-943f-1b58c6d7fe1c" targetNamespace="http://schemas.microsoft.com/office/2006/metadata/properties" ma:root="true" ma:fieldsID="53f4c2f488d1fedcf2aca858641d00ad" ns2:_="" ns3:_="">
    <xsd:import namespace="b83abf15-587c-41fd-8dd2-ba1bd8ac209d"/>
    <xsd:import namespace="92c540b9-157c-4b99-943f-1b58c6d7fe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Kategori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abf15-587c-41fd-8dd2-ba1bd8ac20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Značky obrázků" ma:readOnly="false" ma:fieldId="{5cf76f15-5ced-4ddc-b409-7134ff3c332f}" ma:taxonomyMulti="true" ma:sspId="6d76878d-80a9-454e-a969-8242d2f40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Kategorie" ma:index="19" nillable="true" ma:displayName="Kategorie" ma:format="Dropdown" ma:internalName="Kategori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Metodika"/>
                        <xsd:enumeration value="Aktualita"/>
                        <xsd:enumeration value="Obecné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540b9-157c-4b99-943f-1b58c6d7fe1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01d287b-1d02-43ec-a4ee-6dad78d78917}" ma:internalName="TaxCatchAll" ma:showField="CatchAllData" ma:web="92c540b9-157c-4b99-943f-1b58c6d7fe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7D71D0-0A2F-47DC-8616-E43C7A873478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92c540b9-157c-4b99-943f-1b58c6d7fe1c"/>
    <ds:schemaRef ds:uri="http://schemas.openxmlformats.org/package/2006/metadata/core-properties"/>
    <ds:schemaRef ds:uri="b83abf15-587c-41fd-8dd2-ba1bd8ac20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1506B6-B6FD-46B1-9EA2-3B1BF4F12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3abf15-587c-41fd-8dd2-ba1bd8ac209d"/>
    <ds:schemaRef ds:uri="92c540b9-157c-4b99-943f-1b58c6d7fe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4AA5E3-93EF-443C-8C59-33F6386421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Kraj v číslech</vt:lpstr>
      <vt:lpstr>Přehled ORP</vt:lpstr>
      <vt:lpstr>Kondingenční Seznamu ZŠ</vt:lpstr>
      <vt:lpstr>Seznam sídel škol v KVK</vt:lpstr>
      <vt:lpstr>Počet obyvatel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 Bek | KIC KK</dc:creator>
  <cp:keywords/>
  <dc:description/>
  <cp:lastModifiedBy>Petr Bek | KIC KK</cp:lastModifiedBy>
  <cp:revision/>
  <dcterms:created xsi:type="dcterms:W3CDTF">2026-09-07T09:56:10Z</dcterms:created>
  <dcterms:modified xsi:type="dcterms:W3CDTF">2026-09-10T09:05:27Z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0x01010060A3DCD1378D8E438B2D48720A1E20A1</vt:lpwstr>
  </property>
</Properties>
</file>